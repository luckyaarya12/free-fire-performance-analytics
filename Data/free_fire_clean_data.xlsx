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Lenovo\Desktop\Lucky\free-fire-fullstack-analytics\"/>
    </mc:Choice>
  </mc:AlternateContent>
  <bookViews>
    <workbookView xWindow="-120" yWindow="-120" windowWidth="20736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7" i="1" l="1"/>
  <c r="J90" i="1"/>
  <c r="J95" i="1"/>
  <c r="J113" i="1"/>
  <c r="M115" i="1"/>
  <c r="L116" i="1"/>
  <c r="K116" i="1"/>
  <c r="J116" i="1"/>
  <c r="J117" i="1"/>
  <c r="J105" i="1"/>
  <c r="L105" i="1"/>
  <c r="M111" i="1"/>
  <c r="L111" i="1"/>
  <c r="J111" i="1"/>
  <c r="K111" i="1"/>
  <c r="L115" i="1"/>
  <c r="J115" i="1"/>
  <c r="K115" i="1"/>
  <c r="M113" i="1"/>
  <c r="L113" i="1"/>
  <c r="K113" i="1"/>
  <c r="L109" i="1"/>
  <c r="K109" i="1"/>
  <c r="J109" i="1"/>
  <c r="H108" i="1"/>
  <c r="M108" i="1" s="1"/>
  <c r="L108" i="1"/>
  <c r="J108" i="1"/>
  <c r="K108" i="1"/>
  <c r="H105" i="1"/>
  <c r="M105" i="1" s="1"/>
  <c r="K105" i="1"/>
  <c r="H116" i="1"/>
  <c r="M116" i="1" s="1"/>
  <c r="H109" i="1"/>
  <c r="M109" i="1" s="1"/>
  <c r="M117" i="1"/>
  <c r="L117" i="1"/>
  <c r="K117" i="1"/>
  <c r="M102" i="1" l="1"/>
  <c r="L102" i="1"/>
  <c r="J102" i="1"/>
  <c r="K102" i="1"/>
  <c r="M100" i="1"/>
  <c r="L100" i="1"/>
  <c r="J100" i="1"/>
  <c r="K100" i="1"/>
  <c r="M98" i="1"/>
  <c r="L98" i="1"/>
  <c r="J98" i="1"/>
  <c r="K98" i="1"/>
  <c r="M95" i="1"/>
  <c r="L95" i="1"/>
  <c r="K95" i="1"/>
  <c r="M77" i="1"/>
  <c r="H92" i="1"/>
  <c r="M92" i="1" s="1"/>
  <c r="L92" i="1"/>
  <c r="J92" i="1"/>
  <c r="K92" i="1"/>
  <c r="M90" i="1"/>
  <c r="L90" i="1"/>
  <c r="K90" i="1"/>
  <c r="H88" i="1"/>
  <c r="M88" i="1" s="1"/>
  <c r="L88" i="1"/>
  <c r="J88" i="1"/>
  <c r="K88" i="1"/>
  <c r="H86" i="1"/>
  <c r="M86" i="1" s="1"/>
  <c r="L86" i="1"/>
  <c r="J86" i="1"/>
  <c r="K86" i="1"/>
  <c r="J83" i="1"/>
  <c r="L83" i="1"/>
  <c r="H83" i="1"/>
  <c r="M83" i="1" s="1"/>
  <c r="K83" i="1"/>
  <c r="H81" i="1"/>
  <c r="M81" i="1" s="1"/>
  <c r="L81" i="1"/>
  <c r="J81" i="1"/>
  <c r="K81" i="1"/>
  <c r="H79" i="1"/>
  <c r="M79" i="1" s="1"/>
  <c r="L79" i="1"/>
  <c r="J79" i="1"/>
  <c r="K79" i="1"/>
  <c r="L77" i="1"/>
  <c r="K77" i="1"/>
  <c r="L114" i="1" l="1"/>
  <c r="J114" i="1"/>
  <c r="H114" i="1"/>
  <c r="M114" i="1" s="1"/>
  <c r="K114" i="1"/>
  <c r="H112" i="1"/>
  <c r="M112" i="1" s="1"/>
  <c r="E112" i="1"/>
  <c r="J112" i="1" s="1"/>
  <c r="K112" i="1"/>
  <c r="H110" i="1"/>
  <c r="M110" i="1" s="1"/>
  <c r="L110" i="1"/>
  <c r="J110" i="1"/>
  <c r="K110" i="1"/>
  <c r="L107" i="1"/>
  <c r="J107" i="1"/>
  <c r="H107" i="1"/>
  <c r="M107" i="1" s="1"/>
  <c r="K107" i="1"/>
  <c r="H106" i="1"/>
  <c r="M106" i="1" s="1"/>
  <c r="E106" i="1"/>
  <c r="L106" i="1" s="1"/>
  <c r="K106" i="1"/>
  <c r="H104" i="1"/>
  <c r="M104" i="1" s="1"/>
  <c r="E104" i="1"/>
  <c r="J104" i="1" s="1"/>
  <c r="K104" i="1"/>
  <c r="H103" i="1"/>
  <c r="M103" i="1" s="1"/>
  <c r="L103" i="1"/>
  <c r="J103" i="1"/>
  <c r="K103" i="1"/>
  <c r="H101" i="1"/>
  <c r="M101" i="1" s="1"/>
  <c r="L101" i="1"/>
  <c r="J101" i="1"/>
  <c r="K101" i="1"/>
  <c r="M99" i="1"/>
  <c r="L99" i="1"/>
  <c r="J99" i="1"/>
  <c r="K99" i="1"/>
  <c r="H97" i="1"/>
  <c r="M97" i="1" s="1"/>
  <c r="L97" i="1"/>
  <c r="J97" i="1"/>
  <c r="K97" i="1"/>
  <c r="H96" i="1"/>
  <c r="M96" i="1" s="1"/>
  <c r="L96" i="1"/>
  <c r="J96" i="1"/>
  <c r="K96" i="1"/>
  <c r="H94" i="1"/>
  <c r="M94" i="1" s="1"/>
  <c r="L94" i="1"/>
  <c r="J94" i="1"/>
  <c r="K94" i="1"/>
  <c r="H93" i="1"/>
  <c r="M93" i="1" s="1"/>
  <c r="L93" i="1"/>
  <c r="J93" i="1"/>
  <c r="K93" i="1"/>
  <c r="H91" i="1"/>
  <c r="M91" i="1" s="1"/>
  <c r="L91" i="1"/>
  <c r="J91" i="1"/>
  <c r="K91" i="1"/>
  <c r="H89" i="1"/>
  <c r="M89" i="1" s="1"/>
  <c r="L89" i="1"/>
  <c r="J89" i="1"/>
  <c r="K89" i="1"/>
  <c r="M87" i="1"/>
  <c r="L87" i="1"/>
  <c r="J87" i="1"/>
  <c r="K87" i="1"/>
  <c r="H85" i="1"/>
  <c r="M85" i="1" s="1"/>
  <c r="L85" i="1"/>
  <c r="J85" i="1"/>
  <c r="K85" i="1"/>
  <c r="L84" i="1"/>
  <c r="J84" i="1"/>
  <c r="H84" i="1"/>
  <c r="M84" i="1" s="1"/>
  <c r="K84" i="1"/>
  <c r="H82" i="1"/>
  <c r="M82" i="1" s="1"/>
  <c r="E82" i="1"/>
  <c r="L82" i="1" s="1"/>
  <c r="K82" i="1"/>
  <c r="H80" i="1"/>
  <c r="M80" i="1" s="1"/>
  <c r="L80" i="1"/>
  <c r="J80" i="1"/>
  <c r="K80" i="1"/>
  <c r="M78" i="1"/>
  <c r="J76" i="1"/>
  <c r="J78" i="1"/>
  <c r="L78" i="1"/>
  <c r="K78" i="1"/>
  <c r="H76" i="1"/>
  <c r="M76" i="1" s="1"/>
  <c r="L76" i="1"/>
  <c r="K76" i="1"/>
  <c r="H75" i="1"/>
  <c r="M75" i="1" s="1"/>
  <c r="L75" i="1"/>
  <c r="J75" i="1"/>
  <c r="K75" i="1"/>
  <c r="L74" i="1"/>
  <c r="J74" i="1"/>
  <c r="H74" i="1"/>
  <c r="M74" i="1" s="1"/>
  <c r="K74" i="1"/>
  <c r="H73" i="1"/>
  <c r="M73" i="1" s="1"/>
  <c r="F73" i="1"/>
  <c r="E73" i="1"/>
  <c r="L73" i="1" s="1"/>
  <c r="K73" i="1"/>
  <c r="H72" i="1"/>
  <c r="M72" i="1" s="1"/>
  <c r="L72" i="1"/>
  <c r="J72" i="1"/>
  <c r="K72" i="1"/>
  <c r="H71" i="1"/>
  <c r="M71" i="1" s="1"/>
  <c r="L71" i="1"/>
  <c r="J71" i="1"/>
  <c r="K71" i="1"/>
  <c r="H70" i="1"/>
  <c r="M70" i="1" s="1"/>
  <c r="L70" i="1"/>
  <c r="J70" i="1"/>
  <c r="K70" i="1"/>
  <c r="M69" i="1"/>
  <c r="L69" i="1"/>
  <c r="J69" i="1"/>
  <c r="K69" i="1"/>
  <c r="L68" i="1"/>
  <c r="J68" i="1"/>
  <c r="H68" i="1"/>
  <c r="M68" i="1" s="1"/>
  <c r="K68" i="1"/>
  <c r="H67" i="1"/>
  <c r="M67" i="1" s="1"/>
  <c r="F67" i="1"/>
  <c r="E67" i="1"/>
  <c r="L67" i="1" s="1"/>
  <c r="K67" i="1"/>
  <c r="M66" i="1"/>
  <c r="L66" i="1"/>
  <c r="J66" i="1"/>
  <c r="K66" i="1"/>
  <c r="M65" i="1"/>
  <c r="L65" i="1"/>
  <c r="J65" i="1"/>
  <c r="K65" i="1"/>
  <c r="H64" i="1"/>
  <c r="M64" i="1" s="1"/>
  <c r="F64" i="1"/>
  <c r="E64" i="1"/>
  <c r="L64" i="1" s="1"/>
  <c r="K64" i="1"/>
  <c r="H63" i="1"/>
  <c r="M63" i="1" s="1"/>
  <c r="L63" i="1"/>
  <c r="J63" i="1"/>
  <c r="K63" i="1"/>
  <c r="H62" i="1"/>
  <c r="M62" i="1" s="1"/>
  <c r="L62" i="1"/>
  <c r="J62" i="1"/>
  <c r="K62" i="1"/>
  <c r="H61" i="1"/>
  <c r="M61" i="1" s="1"/>
  <c r="L61" i="1"/>
  <c r="J61" i="1"/>
  <c r="K61" i="1"/>
  <c r="L104" i="1" l="1"/>
  <c r="L112" i="1"/>
  <c r="J106" i="1"/>
  <c r="J82" i="1"/>
  <c r="J73" i="1"/>
  <c r="J67" i="1"/>
  <c r="J64" i="1"/>
  <c r="M59" i="1"/>
  <c r="H60" i="1"/>
  <c r="M60" i="1" s="1"/>
  <c r="L60" i="1"/>
  <c r="J60" i="1"/>
  <c r="K60" i="1"/>
  <c r="L59" i="1"/>
  <c r="J59" i="1"/>
  <c r="K59" i="1"/>
  <c r="H58" i="1"/>
  <c r="M58" i="1" s="1"/>
  <c r="L58" i="1"/>
  <c r="J58" i="1"/>
  <c r="K58" i="1"/>
  <c r="M56" i="1"/>
  <c r="H57" i="1"/>
  <c r="M57" i="1" s="1"/>
  <c r="L57" i="1"/>
  <c r="J57" i="1"/>
  <c r="K57" i="1"/>
  <c r="L56" i="1"/>
  <c r="J56" i="1"/>
  <c r="K56" i="1"/>
  <c r="H55" i="1"/>
  <c r="M55" i="1" s="1"/>
  <c r="L55" i="1"/>
  <c r="J55" i="1"/>
  <c r="K55" i="1"/>
  <c r="H54" i="1"/>
  <c r="M54" i="1" s="1"/>
  <c r="L54" i="1"/>
  <c r="J54" i="1"/>
  <c r="K54" i="1"/>
  <c r="L53" i="1"/>
  <c r="H53" i="1"/>
  <c r="M53" i="1" s="1"/>
  <c r="J53" i="1"/>
  <c r="K53" i="1"/>
  <c r="H52" i="1"/>
  <c r="M52" i="1" s="1"/>
  <c r="L52" i="1"/>
  <c r="J52" i="1"/>
  <c r="K52" i="1"/>
  <c r="J51" i="1"/>
  <c r="L51" i="1"/>
  <c r="M49" i="1"/>
  <c r="H51" i="1"/>
  <c r="M51" i="1" s="1"/>
  <c r="K51" i="1"/>
  <c r="H50" i="1"/>
  <c r="M50" i="1" s="1"/>
  <c r="E50" i="1"/>
  <c r="J50" i="1" s="1"/>
  <c r="K50" i="1"/>
  <c r="J49" i="1"/>
  <c r="L49" i="1"/>
  <c r="K49" i="1"/>
  <c r="H48" i="1"/>
  <c r="M48" i="1" s="1"/>
  <c r="F48" i="1"/>
  <c r="E48" i="1"/>
  <c r="L48" i="1" s="1"/>
  <c r="K48" i="1"/>
  <c r="H47" i="1"/>
  <c r="M47" i="1" s="1"/>
  <c r="F47" i="1"/>
  <c r="E47" i="1"/>
  <c r="L47" i="1" s="1"/>
  <c r="K47" i="1"/>
  <c r="H46" i="1"/>
  <c r="M46" i="1" s="1"/>
  <c r="L46" i="1"/>
  <c r="J46" i="1"/>
  <c r="K46" i="1"/>
  <c r="L45" i="1"/>
  <c r="J45" i="1"/>
  <c r="H45" i="1"/>
  <c r="M45" i="1" s="1"/>
  <c r="K45" i="1"/>
  <c r="L42" i="1"/>
  <c r="H44" i="1"/>
  <c r="M44" i="1" s="1"/>
  <c r="F44" i="1"/>
  <c r="E44" i="1"/>
  <c r="L44" i="1" s="1"/>
  <c r="K44" i="1"/>
  <c r="J42" i="1"/>
  <c r="H43" i="1"/>
  <c r="M43" i="1" s="1"/>
  <c r="F43" i="1"/>
  <c r="E43" i="1"/>
  <c r="L43" i="1" s="1"/>
  <c r="K43" i="1"/>
  <c r="H40" i="1"/>
  <c r="H42" i="1"/>
  <c r="M42" i="1" s="1"/>
  <c r="L50" i="1" l="1"/>
  <c r="J47" i="1"/>
  <c r="J48" i="1"/>
  <c r="J44" i="1"/>
  <c r="J43" i="1"/>
  <c r="K42" i="1"/>
  <c r="L41" i="1"/>
  <c r="J41" i="1"/>
  <c r="H41" i="1"/>
  <c r="M41" i="1" s="1"/>
  <c r="K41" i="1"/>
  <c r="M40" i="1"/>
  <c r="E40" i="1"/>
  <c r="J40" i="1" s="1"/>
  <c r="K40" i="1"/>
  <c r="H39" i="1"/>
  <c r="M39" i="1" s="1"/>
  <c r="F39" i="1"/>
  <c r="E39" i="1"/>
  <c r="L39" i="1" s="1"/>
  <c r="K39" i="1"/>
  <c r="H38" i="1"/>
  <c r="M38" i="1" s="1"/>
  <c r="G38" i="1"/>
  <c r="F38" i="1"/>
  <c r="E38" i="1"/>
  <c r="K38" i="1"/>
  <c r="M37" i="1"/>
  <c r="J37" i="1"/>
  <c r="L37" i="1"/>
  <c r="K37" i="1"/>
  <c r="L36" i="1"/>
  <c r="J36" i="1"/>
  <c r="H36" i="1"/>
  <c r="M36" i="1" s="1"/>
  <c r="K36" i="1"/>
  <c r="H35" i="1"/>
  <c r="M35" i="1" s="1"/>
  <c r="F35" i="1"/>
  <c r="E35" i="1"/>
  <c r="L35" i="1" s="1"/>
  <c r="K35" i="1"/>
  <c r="K34" i="1"/>
  <c r="K33" i="1"/>
  <c r="H34" i="1"/>
  <c r="M34" i="1" s="1"/>
  <c r="F34" i="1"/>
  <c r="E34" i="1"/>
  <c r="L34" i="1" s="1"/>
  <c r="J38" i="1" l="1"/>
  <c r="J34" i="1"/>
  <c r="L40" i="1"/>
  <c r="L38" i="1"/>
  <c r="J39" i="1"/>
  <c r="J3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3" i="1"/>
  <c r="L33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H33" i="1"/>
  <c r="M33" i="1" s="1"/>
  <c r="J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H32" i="1"/>
  <c r="M32" i="1" s="1"/>
  <c r="G32" i="1"/>
  <c r="F32" i="1"/>
  <c r="E32" i="1"/>
  <c r="J32" i="1" l="1"/>
  <c r="L32" i="1"/>
</calcChain>
</file>

<file path=xl/sharedStrings.xml><?xml version="1.0" encoding="utf-8"?>
<sst xmlns="http://schemas.openxmlformats.org/spreadsheetml/2006/main" count="129" uniqueCount="16">
  <si>
    <t>Date</t>
  </si>
  <si>
    <t xml:space="preserve">Mode </t>
  </si>
  <si>
    <t>Matches Play</t>
  </si>
  <si>
    <t>Kills</t>
  </si>
  <si>
    <t>Deaths</t>
  </si>
  <si>
    <t>Headshots</t>
  </si>
  <si>
    <t>K/D Ratio</t>
  </si>
  <si>
    <t xml:space="preserve">   Wins</t>
  </si>
  <si>
    <t>Damage</t>
  </si>
  <si>
    <t>CS-Ranked</t>
  </si>
  <si>
    <t>BR- Ranked</t>
  </si>
  <si>
    <t>Lone Wolf</t>
  </si>
  <si>
    <t>Time Played(hrs)</t>
  </si>
  <si>
    <t>Win(%)</t>
  </si>
  <si>
    <t>Headshot(%)</t>
  </si>
  <si>
    <t>Avg.Damage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</si>
</sst>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0" fillId="0" borderId="0" xfId="0" applyNumberFormat="1"/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21"/>
  <sheetViews>
    <sheetView tabSelected="1" zoomScale="76" zoomScaleNormal="80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12.109375" customWidth="1"/>
    <col min="2" max="2" width="14.109375" customWidth="1"/>
    <col min="3" max="3" width="17" customWidth="1"/>
    <col min="4" max="8" width="12.5546875" customWidth="1"/>
    <col min="9" max="9" width="18.33203125" customWidth="1"/>
    <col min="10" max="11" width="12.5546875" customWidth="1"/>
    <col min="12" max="12" width="13" customWidth="1"/>
    <col min="13" max="13" width="15.664062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7</v>
      </c>
      <c r="E1" s="3" t="s">
        <v>3</v>
      </c>
      <c r="F1" s="3" t="s">
        <v>4</v>
      </c>
      <c r="G1" s="3" t="s">
        <v>5</v>
      </c>
      <c r="H1" s="3" t="s">
        <v>8</v>
      </c>
      <c r="I1" s="3" t="s">
        <v>12</v>
      </c>
      <c r="J1" s="3" t="s">
        <v>6</v>
      </c>
      <c r="K1" s="3" t="s">
        <v>13</v>
      </c>
      <c r="L1" s="3" t="s">
        <v>14</v>
      </c>
      <c r="M1" s="3" t="s">
        <v>15</v>
      </c>
    </row>
    <row r="2" spans="1:13" x14ac:dyDescent="0.3">
      <c r="A2" s="1">
        <v>45852</v>
      </c>
      <c r="B2" s="2" t="s">
        <v>9</v>
      </c>
      <c r="C2" s="2">
        <v>2</v>
      </c>
      <c r="D2" s="2">
        <v>1</v>
      </c>
      <c r="E2" s="2">
        <v>8</v>
      </c>
      <c r="F2" s="2">
        <v>11</v>
      </c>
      <c r="G2" s="2">
        <v>0</v>
      </c>
      <c r="H2" s="2">
        <v>3104</v>
      </c>
      <c r="I2" s="2">
        <v>0.22</v>
      </c>
      <c r="J2" s="2">
        <f>ROUND(E2/F2,2)</f>
        <v>0.73</v>
      </c>
      <c r="K2" s="2">
        <f>ROUND((D2/C2)*100,2)</f>
        <v>50</v>
      </c>
      <c r="L2" s="5">
        <f>G2/E2</f>
        <v>0</v>
      </c>
      <c r="M2" s="2">
        <f>ROUND(H2/C2,2)</f>
        <v>1552</v>
      </c>
    </row>
    <row r="3" spans="1:13" x14ac:dyDescent="0.3">
      <c r="A3" s="1">
        <v>45852</v>
      </c>
      <c r="B3" s="2" t="s">
        <v>10</v>
      </c>
      <c r="C3" s="2">
        <v>2</v>
      </c>
      <c r="D3" s="2">
        <v>1</v>
      </c>
      <c r="E3" s="2">
        <v>5</v>
      </c>
      <c r="F3" s="2">
        <v>1</v>
      </c>
      <c r="G3" s="2">
        <v>0</v>
      </c>
      <c r="H3" s="2">
        <v>2541</v>
      </c>
      <c r="I3" s="2">
        <v>0.4</v>
      </c>
      <c r="J3" s="2">
        <f t="shared" ref="J3:J41" si="0">ROUND(E3/F3,2)</f>
        <v>5</v>
      </c>
      <c r="K3" s="2">
        <f t="shared" ref="K3:K32" si="1">ROUND((D3/C3)*100,2)</f>
        <v>50</v>
      </c>
      <c r="L3" s="5">
        <f t="shared" ref="L3:L33" si="2">G3/E3</f>
        <v>0</v>
      </c>
      <c r="M3" s="2">
        <f t="shared" ref="M3:M33" si="3">ROUND(H3/C3,2)</f>
        <v>1270.5</v>
      </c>
    </row>
    <row r="4" spans="1:13" x14ac:dyDescent="0.3">
      <c r="A4" s="1">
        <v>45853</v>
      </c>
      <c r="B4" s="2" t="s">
        <v>9</v>
      </c>
      <c r="C4" s="2">
        <v>4</v>
      </c>
      <c r="D4" s="2">
        <v>3</v>
      </c>
      <c r="E4" s="2">
        <v>24</v>
      </c>
      <c r="F4" s="2">
        <v>11</v>
      </c>
      <c r="G4" s="2">
        <v>14</v>
      </c>
      <c r="H4" s="2">
        <v>10324</v>
      </c>
      <c r="I4" s="2">
        <v>0.8</v>
      </c>
      <c r="J4" s="2">
        <f t="shared" si="0"/>
        <v>2.1800000000000002</v>
      </c>
      <c r="K4" s="2">
        <f t="shared" si="1"/>
        <v>75</v>
      </c>
      <c r="L4" s="5">
        <f t="shared" si="2"/>
        <v>0.58333333333333337</v>
      </c>
      <c r="M4" s="2">
        <f t="shared" si="3"/>
        <v>2581</v>
      </c>
    </row>
    <row r="5" spans="1:13" x14ac:dyDescent="0.3">
      <c r="A5" s="1">
        <v>45853</v>
      </c>
      <c r="B5" s="2" t="s">
        <v>10</v>
      </c>
      <c r="C5" s="2">
        <v>2</v>
      </c>
      <c r="D5" s="2">
        <v>0</v>
      </c>
      <c r="E5" s="2">
        <v>5</v>
      </c>
      <c r="F5" s="2">
        <v>2</v>
      </c>
      <c r="G5" s="2">
        <v>3</v>
      </c>
      <c r="H5" s="2">
        <v>2350</v>
      </c>
      <c r="I5" s="2">
        <v>0.4</v>
      </c>
      <c r="J5" s="2">
        <f t="shared" si="0"/>
        <v>2.5</v>
      </c>
      <c r="K5" s="2">
        <f t="shared" si="1"/>
        <v>0</v>
      </c>
      <c r="L5" s="5">
        <f t="shared" si="2"/>
        <v>0.6</v>
      </c>
      <c r="M5" s="2">
        <f t="shared" si="3"/>
        <v>1175</v>
      </c>
    </row>
    <row r="6" spans="1:13" x14ac:dyDescent="0.3">
      <c r="A6" s="1">
        <v>45854</v>
      </c>
      <c r="B6" s="2" t="s">
        <v>9</v>
      </c>
      <c r="C6" s="2">
        <v>6</v>
      </c>
      <c r="D6" s="2">
        <v>6</v>
      </c>
      <c r="E6" s="2">
        <v>33</v>
      </c>
      <c r="F6" s="2">
        <v>11</v>
      </c>
      <c r="G6" s="2">
        <v>24</v>
      </c>
      <c r="H6" s="2">
        <v>11794</v>
      </c>
      <c r="I6" s="2">
        <v>0.47</v>
      </c>
      <c r="J6" s="2">
        <f t="shared" si="0"/>
        <v>3</v>
      </c>
      <c r="K6" s="2">
        <f t="shared" si="1"/>
        <v>100</v>
      </c>
      <c r="L6" s="5">
        <f t="shared" si="2"/>
        <v>0.72727272727272729</v>
      </c>
      <c r="M6" s="2">
        <f t="shared" si="3"/>
        <v>1965.67</v>
      </c>
    </row>
    <row r="7" spans="1:13" x14ac:dyDescent="0.3">
      <c r="A7" s="1">
        <v>45855</v>
      </c>
      <c r="B7" s="1" t="s">
        <v>11</v>
      </c>
      <c r="C7" s="2">
        <v>4</v>
      </c>
      <c r="D7" s="2">
        <v>4</v>
      </c>
      <c r="E7" s="2">
        <v>20</v>
      </c>
      <c r="F7" s="2">
        <v>11</v>
      </c>
      <c r="G7" s="2">
        <v>12</v>
      </c>
      <c r="H7" s="2">
        <v>6980</v>
      </c>
      <c r="I7" s="2">
        <v>0.3</v>
      </c>
      <c r="J7" s="2">
        <f t="shared" si="0"/>
        <v>1.82</v>
      </c>
      <c r="K7" s="2">
        <f t="shared" si="1"/>
        <v>100</v>
      </c>
      <c r="L7" s="5">
        <f t="shared" si="2"/>
        <v>0.6</v>
      </c>
      <c r="M7" s="2">
        <f t="shared" si="3"/>
        <v>1745</v>
      </c>
    </row>
    <row r="8" spans="1:13" x14ac:dyDescent="0.3">
      <c r="A8" s="1">
        <v>45855</v>
      </c>
      <c r="B8" s="2" t="s">
        <v>9</v>
      </c>
      <c r="C8" s="2">
        <v>3</v>
      </c>
      <c r="D8" s="2">
        <v>3</v>
      </c>
      <c r="E8" s="2">
        <v>21</v>
      </c>
      <c r="F8" s="2">
        <v>6</v>
      </c>
      <c r="G8" s="2">
        <v>15</v>
      </c>
      <c r="H8" s="2">
        <v>6729</v>
      </c>
      <c r="I8" s="2">
        <v>0.7</v>
      </c>
      <c r="J8" s="2">
        <f t="shared" si="0"/>
        <v>3.5</v>
      </c>
      <c r="K8" s="2">
        <f t="shared" si="1"/>
        <v>100</v>
      </c>
      <c r="L8" s="5">
        <f t="shared" si="2"/>
        <v>0.7142857142857143</v>
      </c>
      <c r="M8" s="2">
        <f t="shared" si="3"/>
        <v>2243</v>
      </c>
    </row>
    <row r="9" spans="1:13" x14ac:dyDescent="0.3">
      <c r="A9" s="1">
        <v>45856</v>
      </c>
      <c r="B9" s="2" t="s">
        <v>9</v>
      </c>
      <c r="C9" s="2">
        <v>7</v>
      </c>
      <c r="D9" s="2">
        <v>5</v>
      </c>
      <c r="E9" s="2">
        <v>40</v>
      </c>
      <c r="F9" s="2">
        <v>21</v>
      </c>
      <c r="G9" s="2">
        <v>22</v>
      </c>
      <c r="H9" s="2">
        <v>15941</v>
      </c>
      <c r="I9" s="2">
        <v>1.25</v>
      </c>
      <c r="J9" s="2">
        <f t="shared" si="0"/>
        <v>1.9</v>
      </c>
      <c r="K9" s="2">
        <f t="shared" si="1"/>
        <v>71.430000000000007</v>
      </c>
      <c r="L9" s="5">
        <f t="shared" si="2"/>
        <v>0.55000000000000004</v>
      </c>
      <c r="M9" s="2">
        <f t="shared" si="3"/>
        <v>2277.29</v>
      </c>
    </row>
    <row r="10" spans="1:13" x14ac:dyDescent="0.3">
      <c r="A10" s="1">
        <v>45857</v>
      </c>
      <c r="B10" s="2" t="s">
        <v>9</v>
      </c>
      <c r="C10" s="2">
        <v>2</v>
      </c>
      <c r="D10" s="2">
        <v>2</v>
      </c>
      <c r="E10" s="2">
        <v>13</v>
      </c>
      <c r="F10" s="2">
        <v>4</v>
      </c>
      <c r="G10" s="2">
        <v>6</v>
      </c>
      <c r="H10" s="2">
        <v>3992</v>
      </c>
      <c r="I10" s="2">
        <v>0.22</v>
      </c>
      <c r="J10" s="2">
        <f t="shared" si="0"/>
        <v>3.25</v>
      </c>
      <c r="K10" s="2">
        <f t="shared" si="1"/>
        <v>100</v>
      </c>
      <c r="L10" s="5">
        <f t="shared" si="2"/>
        <v>0.46153846153846156</v>
      </c>
      <c r="M10" s="2">
        <f t="shared" si="3"/>
        <v>1996</v>
      </c>
    </row>
    <row r="11" spans="1:13" x14ac:dyDescent="0.3">
      <c r="A11" s="1">
        <v>45858</v>
      </c>
      <c r="B11" s="2" t="s">
        <v>9</v>
      </c>
      <c r="C11" s="2">
        <v>1</v>
      </c>
      <c r="D11" s="2">
        <v>1</v>
      </c>
      <c r="E11" s="2">
        <v>6</v>
      </c>
      <c r="F11" s="2">
        <v>1</v>
      </c>
      <c r="G11" s="2">
        <v>4</v>
      </c>
      <c r="H11" s="2">
        <v>1714</v>
      </c>
      <c r="I11" s="2">
        <v>0.25</v>
      </c>
      <c r="J11" s="2">
        <f t="shared" si="0"/>
        <v>6</v>
      </c>
      <c r="K11" s="2">
        <f t="shared" si="1"/>
        <v>100</v>
      </c>
      <c r="L11" s="5">
        <f t="shared" si="2"/>
        <v>0.66666666666666663</v>
      </c>
      <c r="M11" s="2">
        <f t="shared" si="3"/>
        <v>1714</v>
      </c>
    </row>
    <row r="12" spans="1:13" x14ac:dyDescent="0.3">
      <c r="A12" s="1">
        <v>45858</v>
      </c>
      <c r="B12" s="2" t="s">
        <v>10</v>
      </c>
      <c r="C12" s="2">
        <v>5</v>
      </c>
      <c r="D12" s="2">
        <v>0</v>
      </c>
      <c r="E12" s="2">
        <v>30</v>
      </c>
      <c r="F12" s="2">
        <v>5</v>
      </c>
      <c r="G12" s="2">
        <v>18</v>
      </c>
      <c r="H12" s="2">
        <v>10641</v>
      </c>
      <c r="I12" s="2">
        <v>0.91</v>
      </c>
      <c r="J12" s="2">
        <f t="shared" si="0"/>
        <v>6</v>
      </c>
      <c r="K12" s="2">
        <f t="shared" si="1"/>
        <v>0</v>
      </c>
      <c r="L12" s="5">
        <f t="shared" si="2"/>
        <v>0.6</v>
      </c>
      <c r="M12" s="2">
        <f t="shared" si="3"/>
        <v>2128.1999999999998</v>
      </c>
    </row>
    <row r="13" spans="1:13" ht="15.75" customHeight="1" x14ac:dyDescent="0.3">
      <c r="A13" s="1">
        <v>45859</v>
      </c>
      <c r="B13" s="2" t="s">
        <v>9</v>
      </c>
      <c r="C13" s="2">
        <v>4</v>
      </c>
      <c r="D13" s="2">
        <v>4</v>
      </c>
      <c r="E13" s="2">
        <v>26</v>
      </c>
      <c r="F13" s="2">
        <v>15</v>
      </c>
      <c r="G13" s="2">
        <v>14</v>
      </c>
      <c r="H13" s="2">
        <v>9540</v>
      </c>
      <c r="I13" s="2">
        <v>1</v>
      </c>
      <c r="J13" s="2">
        <f t="shared" si="0"/>
        <v>1.73</v>
      </c>
      <c r="K13" s="2">
        <f t="shared" si="1"/>
        <v>100</v>
      </c>
      <c r="L13" s="5">
        <f t="shared" si="2"/>
        <v>0.53846153846153844</v>
      </c>
      <c r="M13" s="2">
        <f t="shared" si="3"/>
        <v>2385</v>
      </c>
    </row>
    <row r="14" spans="1:13" x14ac:dyDescent="0.3">
      <c r="A14" s="1">
        <v>45860</v>
      </c>
      <c r="B14" s="2" t="s">
        <v>9</v>
      </c>
      <c r="C14" s="2">
        <v>2</v>
      </c>
      <c r="D14" s="2">
        <v>2</v>
      </c>
      <c r="E14" s="2">
        <v>8</v>
      </c>
      <c r="F14" s="2">
        <v>3</v>
      </c>
      <c r="G14" s="2">
        <v>8</v>
      </c>
      <c r="H14" s="2">
        <v>3860</v>
      </c>
      <c r="I14" s="2">
        <v>0.43</v>
      </c>
      <c r="J14" s="2">
        <f t="shared" si="0"/>
        <v>2.67</v>
      </c>
      <c r="K14" s="2">
        <f t="shared" si="1"/>
        <v>100</v>
      </c>
      <c r="L14" s="5">
        <f t="shared" si="2"/>
        <v>1</v>
      </c>
      <c r="M14" s="2">
        <f t="shared" si="3"/>
        <v>1930</v>
      </c>
    </row>
    <row r="15" spans="1:13" x14ac:dyDescent="0.3">
      <c r="A15" s="1">
        <v>45860</v>
      </c>
      <c r="B15" s="2" t="s">
        <v>10</v>
      </c>
      <c r="C15" s="2">
        <v>2</v>
      </c>
      <c r="D15" s="2">
        <v>1</v>
      </c>
      <c r="E15" s="2">
        <v>11</v>
      </c>
      <c r="F15" s="2">
        <v>1</v>
      </c>
      <c r="G15" s="2">
        <v>7</v>
      </c>
      <c r="H15" s="2">
        <v>3448</v>
      </c>
      <c r="I15" s="2">
        <v>0.49</v>
      </c>
      <c r="J15" s="2">
        <f t="shared" si="0"/>
        <v>11</v>
      </c>
      <c r="K15" s="2">
        <f t="shared" si="1"/>
        <v>50</v>
      </c>
      <c r="L15" s="5">
        <f t="shared" si="2"/>
        <v>0.63636363636363635</v>
      </c>
      <c r="M15" s="2">
        <f t="shared" si="3"/>
        <v>1724</v>
      </c>
    </row>
    <row r="16" spans="1:13" x14ac:dyDescent="0.3">
      <c r="A16" s="1">
        <v>45861</v>
      </c>
      <c r="B16" s="2" t="s">
        <v>10</v>
      </c>
      <c r="C16" s="2">
        <v>3</v>
      </c>
      <c r="D16" s="2">
        <v>2</v>
      </c>
      <c r="E16" s="2">
        <v>12</v>
      </c>
      <c r="F16" s="2">
        <v>1</v>
      </c>
      <c r="G16" s="2">
        <v>8</v>
      </c>
      <c r="H16" s="2">
        <v>4467</v>
      </c>
      <c r="I16" s="2">
        <v>0.74</v>
      </c>
      <c r="J16" s="2">
        <f t="shared" si="0"/>
        <v>12</v>
      </c>
      <c r="K16" s="2">
        <f t="shared" si="1"/>
        <v>66.67</v>
      </c>
      <c r="L16" s="5">
        <f t="shared" si="2"/>
        <v>0.66666666666666663</v>
      </c>
      <c r="M16" s="2">
        <f t="shared" si="3"/>
        <v>1489</v>
      </c>
    </row>
    <row r="17" spans="1:13" x14ac:dyDescent="0.3">
      <c r="A17" s="1">
        <v>45861</v>
      </c>
      <c r="B17" s="2" t="s">
        <v>9</v>
      </c>
      <c r="C17" s="2">
        <v>2</v>
      </c>
      <c r="D17" s="2">
        <v>1</v>
      </c>
      <c r="E17" s="2">
        <v>8</v>
      </c>
      <c r="F17" s="2">
        <v>1</v>
      </c>
      <c r="G17" s="2">
        <v>6</v>
      </c>
      <c r="H17" s="2">
        <v>2879</v>
      </c>
      <c r="I17" s="2">
        <v>0.27</v>
      </c>
      <c r="J17" s="2">
        <f t="shared" si="0"/>
        <v>8</v>
      </c>
      <c r="K17" s="2">
        <f t="shared" si="1"/>
        <v>50</v>
      </c>
      <c r="L17" s="5">
        <f t="shared" si="2"/>
        <v>0.75</v>
      </c>
      <c r="M17" s="2">
        <f t="shared" si="3"/>
        <v>1439.5</v>
      </c>
    </row>
    <row r="18" spans="1:13" x14ac:dyDescent="0.3">
      <c r="A18" s="1">
        <v>45862</v>
      </c>
      <c r="B18" s="2" t="s">
        <v>9</v>
      </c>
      <c r="C18" s="2">
        <v>1</v>
      </c>
      <c r="D18" s="2">
        <v>1</v>
      </c>
      <c r="E18" s="2">
        <v>6</v>
      </c>
      <c r="F18" s="2">
        <v>3</v>
      </c>
      <c r="G18" s="2">
        <v>4</v>
      </c>
      <c r="H18" s="2">
        <v>1571</v>
      </c>
      <c r="I18" s="2">
        <v>0.22</v>
      </c>
      <c r="J18" s="2">
        <f t="shared" si="0"/>
        <v>2</v>
      </c>
      <c r="K18" s="2">
        <f t="shared" si="1"/>
        <v>100</v>
      </c>
      <c r="L18" s="5">
        <f t="shared" si="2"/>
        <v>0.66666666666666663</v>
      </c>
      <c r="M18" s="2">
        <f t="shared" si="3"/>
        <v>1571</v>
      </c>
    </row>
    <row r="19" spans="1:13" x14ac:dyDescent="0.3">
      <c r="A19" s="1">
        <v>45862</v>
      </c>
      <c r="B19" s="1" t="s">
        <v>11</v>
      </c>
      <c r="C19" s="2">
        <v>1</v>
      </c>
      <c r="D19" s="2">
        <v>1</v>
      </c>
      <c r="E19" s="2">
        <v>5</v>
      </c>
      <c r="F19" s="2">
        <v>1</v>
      </c>
      <c r="G19" s="2">
        <v>3</v>
      </c>
      <c r="H19" s="2">
        <v>1373</v>
      </c>
      <c r="I19" s="2">
        <v>0.15</v>
      </c>
      <c r="J19" s="2">
        <f t="shared" si="0"/>
        <v>5</v>
      </c>
      <c r="K19" s="2">
        <f t="shared" si="1"/>
        <v>100</v>
      </c>
      <c r="L19" s="5">
        <f t="shared" si="2"/>
        <v>0.6</v>
      </c>
      <c r="M19" s="2">
        <f t="shared" si="3"/>
        <v>1373</v>
      </c>
    </row>
    <row r="20" spans="1:13" x14ac:dyDescent="0.3">
      <c r="A20" s="1">
        <v>45863</v>
      </c>
      <c r="B20" s="1" t="s">
        <v>11</v>
      </c>
      <c r="C20" s="2">
        <v>2</v>
      </c>
      <c r="D20" s="2">
        <v>2</v>
      </c>
      <c r="E20" s="2">
        <v>9</v>
      </c>
      <c r="F20" s="2">
        <v>4</v>
      </c>
      <c r="G20" s="2">
        <v>6</v>
      </c>
      <c r="H20" s="2">
        <v>3804</v>
      </c>
      <c r="I20" s="2">
        <v>0.23</v>
      </c>
      <c r="J20" s="2">
        <f t="shared" si="0"/>
        <v>2.25</v>
      </c>
      <c r="K20" s="2">
        <f t="shared" si="1"/>
        <v>100</v>
      </c>
      <c r="L20" s="5">
        <f t="shared" si="2"/>
        <v>0.66666666666666663</v>
      </c>
      <c r="M20" s="2">
        <f t="shared" si="3"/>
        <v>1902</v>
      </c>
    </row>
    <row r="21" spans="1:13" x14ac:dyDescent="0.3">
      <c r="A21" s="1">
        <v>45863</v>
      </c>
      <c r="B21" s="2" t="s">
        <v>9</v>
      </c>
      <c r="C21" s="2">
        <v>4</v>
      </c>
      <c r="D21" s="2">
        <v>3</v>
      </c>
      <c r="E21" s="2">
        <v>22</v>
      </c>
      <c r="F21" s="2">
        <v>12</v>
      </c>
      <c r="G21" s="2">
        <v>9</v>
      </c>
      <c r="H21" s="2">
        <v>10072</v>
      </c>
      <c r="I21" s="2">
        <v>0.82</v>
      </c>
      <c r="J21" s="2">
        <f t="shared" si="0"/>
        <v>1.83</v>
      </c>
      <c r="K21" s="2">
        <f t="shared" si="1"/>
        <v>75</v>
      </c>
      <c r="L21" s="5">
        <f t="shared" si="2"/>
        <v>0.40909090909090912</v>
      </c>
      <c r="M21" s="2">
        <f t="shared" si="3"/>
        <v>2518</v>
      </c>
    </row>
    <row r="22" spans="1:13" x14ac:dyDescent="0.3">
      <c r="A22" s="1">
        <v>45865</v>
      </c>
      <c r="B22" s="2" t="s">
        <v>9</v>
      </c>
      <c r="C22" s="2">
        <v>4</v>
      </c>
      <c r="D22" s="2">
        <v>3</v>
      </c>
      <c r="E22" s="2">
        <v>18</v>
      </c>
      <c r="F22" s="2">
        <v>16</v>
      </c>
      <c r="G22" s="2">
        <v>7</v>
      </c>
      <c r="H22" s="2">
        <v>8944</v>
      </c>
      <c r="I22" s="2">
        <v>0.87</v>
      </c>
      <c r="J22" s="2">
        <f t="shared" si="0"/>
        <v>1.1299999999999999</v>
      </c>
      <c r="K22" s="2">
        <f t="shared" si="1"/>
        <v>75</v>
      </c>
      <c r="L22" s="5">
        <f t="shared" si="2"/>
        <v>0.3888888888888889</v>
      </c>
      <c r="M22" s="2">
        <f t="shared" si="3"/>
        <v>2236</v>
      </c>
    </row>
    <row r="23" spans="1:13" x14ac:dyDescent="0.3">
      <c r="A23" s="1">
        <v>45865</v>
      </c>
      <c r="B23" s="2" t="s">
        <v>10</v>
      </c>
      <c r="C23" s="2">
        <v>2</v>
      </c>
      <c r="D23" s="2">
        <v>0</v>
      </c>
      <c r="E23" s="2">
        <v>10</v>
      </c>
      <c r="F23" s="2">
        <v>2</v>
      </c>
      <c r="G23" s="2">
        <v>6</v>
      </c>
      <c r="H23" s="2">
        <v>3096</v>
      </c>
      <c r="I23" s="2">
        <v>0.36</v>
      </c>
      <c r="J23" s="2">
        <f t="shared" si="0"/>
        <v>5</v>
      </c>
      <c r="K23" s="2">
        <f t="shared" si="1"/>
        <v>0</v>
      </c>
      <c r="L23" s="5">
        <f t="shared" si="2"/>
        <v>0.6</v>
      </c>
      <c r="M23" s="2">
        <f t="shared" si="3"/>
        <v>1548</v>
      </c>
    </row>
    <row r="24" spans="1:13" x14ac:dyDescent="0.3">
      <c r="A24" s="1">
        <v>45866</v>
      </c>
      <c r="B24" s="2" t="s">
        <v>9</v>
      </c>
      <c r="C24" s="2">
        <v>4</v>
      </c>
      <c r="D24" s="2">
        <v>2</v>
      </c>
      <c r="E24" s="2">
        <v>22</v>
      </c>
      <c r="F24" s="2">
        <v>10</v>
      </c>
      <c r="G24" s="2">
        <v>12</v>
      </c>
      <c r="H24" s="2">
        <v>8349</v>
      </c>
      <c r="I24" s="2">
        <v>0.59</v>
      </c>
      <c r="J24" s="2">
        <f t="shared" si="0"/>
        <v>2.2000000000000002</v>
      </c>
      <c r="K24" s="2">
        <f t="shared" si="1"/>
        <v>50</v>
      </c>
      <c r="L24" s="5">
        <f t="shared" si="2"/>
        <v>0.54545454545454541</v>
      </c>
      <c r="M24" s="2">
        <f t="shared" si="3"/>
        <v>2087.25</v>
      </c>
    </row>
    <row r="25" spans="1:13" x14ac:dyDescent="0.3">
      <c r="A25" s="1">
        <v>45866</v>
      </c>
      <c r="B25" s="1" t="s">
        <v>11</v>
      </c>
      <c r="C25" s="2">
        <v>1</v>
      </c>
      <c r="D25" s="2">
        <v>1</v>
      </c>
      <c r="E25" s="2">
        <v>5</v>
      </c>
      <c r="F25" s="2">
        <v>1</v>
      </c>
      <c r="G25" s="2">
        <v>4</v>
      </c>
      <c r="H25" s="2">
        <v>1383</v>
      </c>
      <c r="I25" s="2">
        <v>0.19</v>
      </c>
      <c r="J25" s="2">
        <f t="shared" si="0"/>
        <v>5</v>
      </c>
      <c r="K25" s="2">
        <f t="shared" si="1"/>
        <v>100</v>
      </c>
      <c r="L25" s="5">
        <f t="shared" si="2"/>
        <v>0.8</v>
      </c>
      <c r="M25" s="2">
        <f t="shared" si="3"/>
        <v>1383</v>
      </c>
    </row>
    <row r="26" spans="1:13" x14ac:dyDescent="0.3">
      <c r="A26" s="1">
        <v>45867</v>
      </c>
      <c r="B26" s="2" t="s">
        <v>10</v>
      </c>
      <c r="C26" s="2">
        <v>1</v>
      </c>
      <c r="D26" s="2">
        <v>0</v>
      </c>
      <c r="E26" s="2">
        <v>4</v>
      </c>
      <c r="F26" s="2">
        <v>1</v>
      </c>
      <c r="G26" s="2">
        <v>3</v>
      </c>
      <c r="H26" s="2">
        <v>1754</v>
      </c>
      <c r="I26" s="2">
        <v>0.12</v>
      </c>
      <c r="J26" s="2">
        <f t="shared" si="0"/>
        <v>4</v>
      </c>
      <c r="K26" s="2">
        <f t="shared" si="1"/>
        <v>0</v>
      </c>
      <c r="L26" s="5">
        <f t="shared" si="2"/>
        <v>0.75</v>
      </c>
      <c r="M26" s="2">
        <f t="shared" si="3"/>
        <v>1754</v>
      </c>
    </row>
    <row r="27" spans="1:13" x14ac:dyDescent="0.3">
      <c r="A27" s="1">
        <v>45867</v>
      </c>
      <c r="B27" s="2" t="s">
        <v>9</v>
      </c>
      <c r="C27" s="2">
        <v>5</v>
      </c>
      <c r="D27" s="2">
        <v>3</v>
      </c>
      <c r="E27" s="2">
        <v>25</v>
      </c>
      <c r="F27" s="2">
        <v>17</v>
      </c>
      <c r="G27" s="2">
        <v>18</v>
      </c>
      <c r="H27" s="2">
        <v>10477</v>
      </c>
      <c r="I27" s="2">
        <v>1.17</v>
      </c>
      <c r="J27" s="2">
        <f t="shared" si="0"/>
        <v>1.47</v>
      </c>
      <c r="K27" s="2">
        <f t="shared" si="1"/>
        <v>60</v>
      </c>
      <c r="L27" s="5">
        <f t="shared" si="2"/>
        <v>0.72</v>
      </c>
      <c r="M27" s="2">
        <f t="shared" si="3"/>
        <v>2095.4</v>
      </c>
    </row>
    <row r="28" spans="1:13" x14ac:dyDescent="0.3">
      <c r="A28" s="1">
        <v>45868</v>
      </c>
      <c r="B28" s="2" t="s">
        <v>9</v>
      </c>
      <c r="C28" s="2">
        <v>4</v>
      </c>
      <c r="D28" s="2">
        <v>4</v>
      </c>
      <c r="E28" s="2">
        <v>20</v>
      </c>
      <c r="F28" s="2">
        <v>6</v>
      </c>
      <c r="G28" s="2">
        <v>8</v>
      </c>
      <c r="H28" s="2">
        <v>7220</v>
      </c>
      <c r="I28" s="2">
        <v>0.52</v>
      </c>
      <c r="J28" s="2">
        <f t="shared" si="0"/>
        <v>3.33</v>
      </c>
      <c r="K28" s="2">
        <f t="shared" si="1"/>
        <v>100</v>
      </c>
      <c r="L28" s="5">
        <f t="shared" si="2"/>
        <v>0.4</v>
      </c>
      <c r="M28" s="2">
        <f t="shared" si="3"/>
        <v>1805</v>
      </c>
    </row>
    <row r="29" spans="1:13" x14ac:dyDescent="0.3">
      <c r="A29" s="1">
        <v>45869</v>
      </c>
      <c r="B29" s="2" t="s">
        <v>10</v>
      </c>
      <c r="C29" s="2">
        <v>3</v>
      </c>
      <c r="D29" s="2">
        <v>2</v>
      </c>
      <c r="E29" s="2">
        <v>15</v>
      </c>
      <c r="F29" s="2">
        <v>1</v>
      </c>
      <c r="G29" s="2">
        <v>7</v>
      </c>
      <c r="H29" s="2">
        <v>4427</v>
      </c>
      <c r="I29" s="2">
        <v>0.6</v>
      </c>
      <c r="J29" s="2">
        <f t="shared" si="0"/>
        <v>15</v>
      </c>
      <c r="K29" s="2">
        <f t="shared" si="1"/>
        <v>66.67</v>
      </c>
      <c r="L29" s="5">
        <f t="shared" si="2"/>
        <v>0.46666666666666667</v>
      </c>
      <c r="M29" s="2">
        <f t="shared" si="3"/>
        <v>1475.67</v>
      </c>
    </row>
    <row r="30" spans="1:13" x14ac:dyDescent="0.3">
      <c r="A30" s="1">
        <v>45869</v>
      </c>
      <c r="B30" s="2" t="s">
        <v>9</v>
      </c>
      <c r="C30" s="2">
        <v>7</v>
      </c>
      <c r="D30" s="2">
        <v>5</v>
      </c>
      <c r="E30" s="2">
        <v>49</v>
      </c>
      <c r="F30" s="2">
        <v>24</v>
      </c>
      <c r="G30" s="2">
        <v>21</v>
      </c>
      <c r="H30" s="2">
        <v>18997</v>
      </c>
      <c r="I30" s="2">
        <v>1.33</v>
      </c>
      <c r="J30" s="2">
        <f t="shared" si="0"/>
        <v>2.04</v>
      </c>
      <c r="K30" s="2">
        <f t="shared" si="1"/>
        <v>71.430000000000007</v>
      </c>
      <c r="L30" s="5">
        <f t="shared" si="2"/>
        <v>0.42857142857142855</v>
      </c>
      <c r="M30" s="2">
        <f t="shared" si="3"/>
        <v>2713.86</v>
      </c>
    </row>
    <row r="31" spans="1:13" x14ac:dyDescent="0.3">
      <c r="A31" s="1">
        <v>45870</v>
      </c>
      <c r="B31" s="2" t="s">
        <v>9</v>
      </c>
      <c r="C31" s="2">
        <v>3</v>
      </c>
      <c r="D31" s="2">
        <v>3</v>
      </c>
      <c r="E31" s="2">
        <v>15</v>
      </c>
      <c r="F31" s="2">
        <v>6</v>
      </c>
      <c r="G31" s="2">
        <v>7</v>
      </c>
      <c r="H31" s="2">
        <v>6173</v>
      </c>
      <c r="I31" s="2">
        <v>0.82</v>
      </c>
      <c r="J31" s="2">
        <f t="shared" si="0"/>
        <v>2.5</v>
      </c>
      <c r="K31" s="2">
        <f t="shared" si="1"/>
        <v>100</v>
      </c>
      <c r="L31" s="5">
        <f t="shared" si="2"/>
        <v>0.46666666666666667</v>
      </c>
      <c r="M31" s="2">
        <f t="shared" si="3"/>
        <v>2057.67</v>
      </c>
    </row>
    <row r="32" spans="1:13" x14ac:dyDescent="0.3">
      <c r="A32" s="1">
        <v>45872</v>
      </c>
      <c r="B32" s="2" t="s">
        <v>9</v>
      </c>
      <c r="C32" s="2">
        <v>5</v>
      </c>
      <c r="D32" s="2">
        <v>4</v>
      </c>
      <c r="E32" s="2">
        <f>SUM(5,6,6,7,8)</f>
        <v>32</v>
      </c>
      <c r="F32" s="2">
        <f>SUM(3,1,4,3,3)</f>
        <v>14</v>
      </c>
      <c r="G32" s="2">
        <f>SUM(3,3,3,5,4)</f>
        <v>18</v>
      </c>
      <c r="H32" s="2">
        <f>SUM(3418,2190,1972,2068,2392)</f>
        <v>12040</v>
      </c>
      <c r="I32" s="2">
        <v>1.1000000000000001</v>
      </c>
      <c r="J32" s="2">
        <f t="shared" si="0"/>
        <v>2.29</v>
      </c>
      <c r="K32" s="2">
        <f t="shared" si="1"/>
        <v>80</v>
      </c>
      <c r="L32" s="5">
        <f t="shared" si="2"/>
        <v>0.5625</v>
      </c>
      <c r="M32" s="2">
        <f t="shared" si="3"/>
        <v>2408</v>
      </c>
    </row>
    <row r="33" spans="1:13" x14ac:dyDescent="0.3">
      <c r="A33" s="1">
        <v>45872</v>
      </c>
      <c r="B33" s="2" t="s">
        <v>10</v>
      </c>
      <c r="C33" s="2">
        <v>2</v>
      </c>
      <c r="D33" s="2">
        <v>2</v>
      </c>
      <c r="E33" s="2">
        <v>9</v>
      </c>
      <c r="F33" s="2">
        <v>1</v>
      </c>
      <c r="G33" s="2">
        <v>4</v>
      </c>
      <c r="H33" s="2">
        <f>SUM(1223,1450)</f>
        <v>2673</v>
      </c>
      <c r="I33" s="2">
        <v>0.47</v>
      </c>
      <c r="J33" s="2">
        <f t="shared" si="0"/>
        <v>9</v>
      </c>
      <c r="K33" s="2">
        <f t="shared" ref="K33:K116" si="4">ROUND((D33/C33)*100,2)</f>
        <v>100</v>
      </c>
      <c r="L33" s="5">
        <f t="shared" si="2"/>
        <v>0.44444444444444442</v>
      </c>
      <c r="M33" s="2">
        <f t="shared" si="3"/>
        <v>1336.5</v>
      </c>
    </row>
    <row r="34" spans="1:13" x14ac:dyDescent="0.3">
      <c r="A34" s="1">
        <v>45873</v>
      </c>
      <c r="B34" s="2" t="s">
        <v>9</v>
      </c>
      <c r="C34" s="2">
        <v>3</v>
      </c>
      <c r="D34" s="2">
        <v>3</v>
      </c>
      <c r="E34" s="2">
        <f>SUM(6,4,2)</f>
        <v>12</v>
      </c>
      <c r="F34" s="2">
        <f>SUM(2,2,3)</f>
        <v>7</v>
      </c>
      <c r="G34" s="2">
        <v>4</v>
      </c>
      <c r="H34" s="2">
        <f>SUM(2138,1459,1726)</f>
        <v>5323</v>
      </c>
      <c r="I34" s="2">
        <v>0.49</v>
      </c>
      <c r="J34" s="2">
        <f t="shared" si="0"/>
        <v>1.71</v>
      </c>
      <c r="K34" s="2">
        <f t="shared" si="4"/>
        <v>100</v>
      </c>
      <c r="L34" s="5">
        <f>G34/E34</f>
        <v>0.33333333333333331</v>
      </c>
      <c r="M34" s="2">
        <f t="shared" ref="M34:M41" si="5">ROUND(H34/C34,2)</f>
        <v>1774.33</v>
      </c>
    </row>
    <row r="35" spans="1:13" x14ac:dyDescent="0.3">
      <c r="A35" s="1">
        <v>45874</v>
      </c>
      <c r="B35" s="2" t="s">
        <v>9</v>
      </c>
      <c r="C35" s="2">
        <v>4</v>
      </c>
      <c r="D35" s="2">
        <v>3</v>
      </c>
      <c r="E35" s="2">
        <f>SUM(6,8,5,6)</f>
        <v>25</v>
      </c>
      <c r="F35" s="2">
        <f>SUM(3,2,2,6)</f>
        <v>13</v>
      </c>
      <c r="G35" s="2">
        <v>12</v>
      </c>
      <c r="H35" s="2">
        <f>SUM(4091,1911,2974,3047)</f>
        <v>12023</v>
      </c>
      <c r="I35" s="2">
        <v>0.53</v>
      </c>
      <c r="J35" s="2">
        <f t="shared" si="0"/>
        <v>1.92</v>
      </c>
      <c r="K35" s="2">
        <f t="shared" si="4"/>
        <v>75</v>
      </c>
      <c r="L35" s="5">
        <f>G35/E35</f>
        <v>0.48</v>
      </c>
      <c r="M35" s="2">
        <f t="shared" si="5"/>
        <v>3005.75</v>
      </c>
    </row>
    <row r="36" spans="1:13" x14ac:dyDescent="0.3">
      <c r="A36" s="1">
        <v>45874</v>
      </c>
      <c r="B36" s="1" t="s">
        <v>11</v>
      </c>
      <c r="C36" s="2">
        <v>2</v>
      </c>
      <c r="D36" s="2">
        <v>2</v>
      </c>
      <c r="E36" s="2">
        <v>10</v>
      </c>
      <c r="F36" s="2">
        <v>3</v>
      </c>
      <c r="G36" s="2">
        <v>7</v>
      </c>
      <c r="H36" s="2">
        <f>SUM(1699,1283)</f>
        <v>2982</v>
      </c>
      <c r="I36" s="2">
        <v>0.26</v>
      </c>
      <c r="J36" s="2">
        <f t="shared" si="0"/>
        <v>3.33</v>
      </c>
      <c r="K36" s="2">
        <f t="shared" si="4"/>
        <v>100</v>
      </c>
      <c r="L36" s="5">
        <f>G36/E36</f>
        <v>0.7</v>
      </c>
      <c r="M36" s="2">
        <f t="shared" si="5"/>
        <v>1491</v>
      </c>
    </row>
    <row r="37" spans="1:13" x14ac:dyDescent="0.3">
      <c r="A37" s="1">
        <v>45875</v>
      </c>
      <c r="B37" s="2" t="s">
        <v>10</v>
      </c>
      <c r="C37" s="2">
        <v>1</v>
      </c>
      <c r="D37" s="2">
        <v>0</v>
      </c>
      <c r="E37" s="2">
        <v>4</v>
      </c>
      <c r="F37" s="2">
        <v>1</v>
      </c>
      <c r="G37" s="2">
        <v>2</v>
      </c>
      <c r="H37" s="2">
        <v>997</v>
      </c>
      <c r="I37" s="2">
        <v>0.16</v>
      </c>
      <c r="J37" s="2">
        <f t="shared" si="0"/>
        <v>4</v>
      </c>
      <c r="K37" s="2">
        <f t="shared" si="4"/>
        <v>0</v>
      </c>
      <c r="L37" s="5">
        <f>G37/E37</f>
        <v>0.5</v>
      </c>
      <c r="M37" s="2">
        <f t="shared" si="5"/>
        <v>997</v>
      </c>
    </row>
    <row r="38" spans="1:13" x14ac:dyDescent="0.3">
      <c r="A38" s="1">
        <v>45875</v>
      </c>
      <c r="B38" s="2" t="s">
        <v>9</v>
      </c>
      <c r="C38" s="2">
        <v>3</v>
      </c>
      <c r="D38" s="2">
        <v>2</v>
      </c>
      <c r="E38" s="2">
        <f>SUM(8,10,10)</f>
        <v>28</v>
      </c>
      <c r="F38" s="2">
        <f>SUM(3,4,3)</f>
        <v>10</v>
      </c>
      <c r="G38" s="2">
        <f>SUM(6,4,3)</f>
        <v>13</v>
      </c>
      <c r="H38" s="2">
        <f>SUM(4193,4159,4710)</f>
        <v>13062</v>
      </c>
      <c r="I38" s="2">
        <v>0.52</v>
      </c>
      <c r="J38" s="2">
        <f t="shared" si="0"/>
        <v>2.8</v>
      </c>
      <c r="K38" s="2">
        <f t="shared" si="4"/>
        <v>66.67</v>
      </c>
      <c r="L38" s="5">
        <f>G38/E38</f>
        <v>0.4642857142857143</v>
      </c>
      <c r="M38" s="2">
        <f t="shared" si="5"/>
        <v>4354</v>
      </c>
    </row>
    <row r="39" spans="1:13" x14ac:dyDescent="0.3">
      <c r="A39" s="1">
        <v>45876</v>
      </c>
      <c r="B39" s="2" t="s">
        <v>9</v>
      </c>
      <c r="C39" s="2">
        <v>4</v>
      </c>
      <c r="D39" s="2">
        <v>4</v>
      </c>
      <c r="E39" s="2">
        <f>SUM(4,5,4,5)</f>
        <v>18</v>
      </c>
      <c r="F39" s="2">
        <f>SUM(2,5,1,2,)</f>
        <v>10</v>
      </c>
      <c r="G39" s="2">
        <v>10</v>
      </c>
      <c r="H39" s="2">
        <f>SUM(1856,2179,1443,1135)</f>
        <v>6613</v>
      </c>
      <c r="I39" s="2">
        <v>0.54</v>
      </c>
      <c r="J39" s="2">
        <f t="shared" si="0"/>
        <v>1.8</v>
      </c>
      <c r="K39" s="2">
        <f t="shared" si="4"/>
        <v>100</v>
      </c>
      <c r="L39" s="5">
        <f t="shared" ref="L39:L41" si="6">G39/E39</f>
        <v>0.55555555555555558</v>
      </c>
      <c r="M39" s="2">
        <f t="shared" si="5"/>
        <v>1653.25</v>
      </c>
    </row>
    <row r="40" spans="1:13" x14ac:dyDescent="0.3">
      <c r="A40" s="1">
        <v>45877</v>
      </c>
      <c r="B40" s="2" t="s">
        <v>9</v>
      </c>
      <c r="C40" s="2">
        <v>2</v>
      </c>
      <c r="D40" s="2">
        <v>2</v>
      </c>
      <c r="E40" s="2">
        <f>SUM(7,5)</f>
        <v>12</v>
      </c>
      <c r="F40" s="2">
        <v>5</v>
      </c>
      <c r="G40" s="2">
        <v>7</v>
      </c>
      <c r="H40" s="2">
        <f>SUM(1757,3882)</f>
        <v>5639</v>
      </c>
      <c r="I40" s="2">
        <v>0.47</v>
      </c>
      <c r="J40" s="2">
        <f t="shared" si="0"/>
        <v>2.4</v>
      </c>
      <c r="K40" s="2">
        <f t="shared" si="4"/>
        <v>100</v>
      </c>
      <c r="L40" s="5">
        <f t="shared" si="6"/>
        <v>0.58333333333333337</v>
      </c>
      <c r="M40" s="2">
        <f t="shared" si="5"/>
        <v>2819.5</v>
      </c>
    </row>
    <row r="41" spans="1:13" x14ac:dyDescent="0.3">
      <c r="A41" s="1">
        <v>45877</v>
      </c>
      <c r="B41" s="6" t="s">
        <v>10</v>
      </c>
      <c r="C41" s="2">
        <v>2</v>
      </c>
      <c r="D41" s="2">
        <v>0</v>
      </c>
      <c r="E41" s="2">
        <v>4</v>
      </c>
      <c r="F41" s="2">
        <v>2</v>
      </c>
      <c r="G41" s="2">
        <v>2</v>
      </c>
      <c r="H41" s="2">
        <f>SUM(792,690)</f>
        <v>1482</v>
      </c>
      <c r="I41" s="2">
        <v>0.4</v>
      </c>
      <c r="J41" s="2">
        <f t="shared" si="0"/>
        <v>2</v>
      </c>
      <c r="K41" s="2">
        <f t="shared" si="4"/>
        <v>0</v>
      </c>
      <c r="L41" s="5">
        <f t="shared" si="6"/>
        <v>0.5</v>
      </c>
      <c r="M41" s="2">
        <f t="shared" si="5"/>
        <v>741</v>
      </c>
    </row>
    <row r="42" spans="1:13" x14ac:dyDescent="0.3">
      <c r="A42" s="1">
        <v>45877</v>
      </c>
      <c r="B42" s="1" t="s">
        <v>11</v>
      </c>
      <c r="C42" s="2">
        <v>3</v>
      </c>
      <c r="D42" s="2">
        <v>3</v>
      </c>
      <c r="E42" s="2">
        <v>15</v>
      </c>
      <c r="F42" s="2">
        <v>9</v>
      </c>
      <c r="G42" s="2">
        <v>10</v>
      </c>
      <c r="H42" s="2">
        <f>SUM(1609,1530,1735)</f>
        <v>4874</v>
      </c>
      <c r="I42" s="2">
        <v>0.4</v>
      </c>
      <c r="J42" s="2">
        <f t="shared" ref="J42:J50" si="7">ROUND(E42/F42,2)</f>
        <v>1.67</v>
      </c>
      <c r="K42" s="2">
        <f t="shared" si="4"/>
        <v>100</v>
      </c>
      <c r="L42" s="5">
        <f>G42/E42</f>
        <v>0.66666666666666663</v>
      </c>
      <c r="M42" s="2">
        <f>ROUND(H42/C42,2)</f>
        <v>1624.67</v>
      </c>
    </row>
    <row r="43" spans="1:13" x14ac:dyDescent="0.3">
      <c r="A43" s="1">
        <v>45878</v>
      </c>
      <c r="B43" s="2" t="s">
        <v>9</v>
      </c>
      <c r="C43" s="2">
        <v>4</v>
      </c>
      <c r="D43" s="2">
        <v>3</v>
      </c>
      <c r="E43" s="2">
        <f>SUM(3,3,6,7)</f>
        <v>19</v>
      </c>
      <c r="F43" s="2">
        <f>SUM(0,3,0,5)</f>
        <v>8</v>
      </c>
      <c r="G43" s="2">
        <v>6</v>
      </c>
      <c r="H43" s="2">
        <f>SUM(2141,2931,943,1052)</f>
        <v>7067</v>
      </c>
      <c r="I43" s="2">
        <v>0.74</v>
      </c>
      <c r="J43" s="2">
        <f t="shared" si="7"/>
        <v>2.38</v>
      </c>
      <c r="K43" s="2">
        <f t="shared" si="4"/>
        <v>75</v>
      </c>
      <c r="L43" s="5">
        <f t="shared" ref="L43" si="8">G43/E43</f>
        <v>0.31578947368421051</v>
      </c>
      <c r="M43" s="2">
        <f t="shared" ref="M43" si="9">ROUND(H43/C43,2)</f>
        <v>1766.75</v>
      </c>
    </row>
    <row r="44" spans="1:13" x14ac:dyDescent="0.3">
      <c r="A44" s="1">
        <v>45879</v>
      </c>
      <c r="B44" s="2" t="s">
        <v>9</v>
      </c>
      <c r="C44" s="2">
        <v>3</v>
      </c>
      <c r="D44" s="2">
        <v>2</v>
      </c>
      <c r="E44" s="2">
        <f>SUM(5,4,7)</f>
        <v>16</v>
      </c>
      <c r="F44" s="2">
        <f>SUM(5,5,5)</f>
        <v>15</v>
      </c>
      <c r="G44" s="2">
        <v>7</v>
      </c>
      <c r="H44" s="2">
        <f>SUM(3762,2567,2308)</f>
        <v>8637</v>
      </c>
      <c r="I44" s="2">
        <v>0.62</v>
      </c>
      <c r="J44" s="2">
        <f t="shared" si="7"/>
        <v>1.07</v>
      </c>
      <c r="K44" s="2">
        <f t="shared" si="4"/>
        <v>66.67</v>
      </c>
      <c r="L44" s="5">
        <f t="shared" ref="L44:L49" si="10">G44/E44</f>
        <v>0.4375</v>
      </c>
      <c r="M44" s="2">
        <f t="shared" ref="M44:M52" si="11">ROUND(H44/C44,2)</f>
        <v>2879</v>
      </c>
    </row>
    <row r="45" spans="1:13" x14ac:dyDescent="0.3">
      <c r="A45" s="1">
        <v>45879</v>
      </c>
      <c r="B45" s="1" t="s">
        <v>11</v>
      </c>
      <c r="C45" s="2">
        <v>2</v>
      </c>
      <c r="D45" s="2">
        <v>2</v>
      </c>
      <c r="E45" s="2">
        <v>10</v>
      </c>
      <c r="F45" s="2">
        <v>1</v>
      </c>
      <c r="G45" s="2">
        <v>8</v>
      </c>
      <c r="H45" s="2">
        <f>SUM(1641,1246)</f>
        <v>2887</v>
      </c>
      <c r="I45" s="2">
        <v>0.3</v>
      </c>
      <c r="J45" s="2">
        <f t="shared" si="7"/>
        <v>10</v>
      </c>
      <c r="K45" s="2">
        <f t="shared" si="4"/>
        <v>100</v>
      </c>
      <c r="L45" s="5">
        <f t="shared" si="10"/>
        <v>0.8</v>
      </c>
      <c r="M45" s="2">
        <f t="shared" si="11"/>
        <v>1443.5</v>
      </c>
    </row>
    <row r="46" spans="1:13" x14ac:dyDescent="0.3">
      <c r="A46" s="1">
        <v>45880</v>
      </c>
      <c r="B46" s="1" t="s">
        <v>11</v>
      </c>
      <c r="C46" s="2">
        <v>2</v>
      </c>
      <c r="D46" s="2">
        <v>2</v>
      </c>
      <c r="E46" s="2">
        <v>10</v>
      </c>
      <c r="F46" s="2">
        <v>4</v>
      </c>
      <c r="G46" s="2">
        <v>6</v>
      </c>
      <c r="H46" s="2">
        <f>SUM(1218,2325)</f>
        <v>3543</v>
      </c>
      <c r="I46" s="2">
        <v>0.4</v>
      </c>
      <c r="J46" s="2">
        <f t="shared" si="7"/>
        <v>2.5</v>
      </c>
      <c r="K46" s="2">
        <f t="shared" si="4"/>
        <v>100</v>
      </c>
      <c r="L46" s="5">
        <f t="shared" si="10"/>
        <v>0.6</v>
      </c>
      <c r="M46" s="2">
        <f t="shared" si="11"/>
        <v>1771.5</v>
      </c>
    </row>
    <row r="47" spans="1:13" x14ac:dyDescent="0.3">
      <c r="A47" s="1">
        <v>45880</v>
      </c>
      <c r="B47" s="2" t="s">
        <v>9</v>
      </c>
      <c r="C47" s="2">
        <v>5</v>
      </c>
      <c r="D47" s="2">
        <v>5</v>
      </c>
      <c r="E47" s="2">
        <f>SUM(5,6,2,3,0)</f>
        <v>16</v>
      </c>
      <c r="F47" s="2">
        <f>SUM(7,1,4,1,2)</f>
        <v>15</v>
      </c>
      <c r="G47" s="2">
        <v>9</v>
      </c>
      <c r="H47" s="2">
        <f>SUM(794,874,1672,3169,1298)</f>
        <v>7807</v>
      </c>
      <c r="I47" s="2">
        <v>1.9</v>
      </c>
      <c r="J47" s="2">
        <f t="shared" si="7"/>
        <v>1.07</v>
      </c>
      <c r="K47" s="2">
        <f t="shared" si="4"/>
        <v>100</v>
      </c>
      <c r="L47" s="5">
        <f t="shared" si="10"/>
        <v>0.5625</v>
      </c>
      <c r="M47" s="2">
        <f t="shared" si="11"/>
        <v>1561.4</v>
      </c>
    </row>
    <row r="48" spans="1:13" x14ac:dyDescent="0.3">
      <c r="A48" s="1">
        <v>45881</v>
      </c>
      <c r="B48" s="2" t="s">
        <v>9</v>
      </c>
      <c r="C48" s="2">
        <v>6</v>
      </c>
      <c r="D48" s="2">
        <v>4</v>
      </c>
      <c r="E48" s="2">
        <f>SUM(6,5,6,2,3,6)</f>
        <v>28</v>
      </c>
      <c r="F48" s="2">
        <f>SUM(1,2,4,4,0,5)</f>
        <v>16</v>
      </c>
      <c r="G48" s="2">
        <v>15</v>
      </c>
      <c r="H48" s="2">
        <f>SUM(2670,2388,2162,1533,1588,2528)</f>
        <v>12869</v>
      </c>
      <c r="I48" s="2">
        <v>1.17</v>
      </c>
      <c r="J48" s="2">
        <f t="shared" si="7"/>
        <v>1.75</v>
      </c>
      <c r="K48" s="2">
        <f t="shared" si="4"/>
        <v>66.67</v>
      </c>
      <c r="L48" s="5">
        <f t="shared" si="10"/>
        <v>0.5357142857142857</v>
      </c>
      <c r="M48" s="2">
        <f t="shared" si="11"/>
        <v>2144.83</v>
      </c>
    </row>
    <row r="49" spans="1:13" x14ac:dyDescent="0.3">
      <c r="A49" s="1">
        <v>45881</v>
      </c>
      <c r="B49" s="1" t="s">
        <v>11</v>
      </c>
      <c r="C49" s="2">
        <v>1</v>
      </c>
      <c r="D49" s="2">
        <v>1</v>
      </c>
      <c r="E49" s="2">
        <v>5</v>
      </c>
      <c r="F49" s="2">
        <v>1</v>
      </c>
      <c r="G49" s="2">
        <v>4</v>
      </c>
      <c r="H49" s="2">
        <v>1610</v>
      </c>
      <c r="I49" s="2">
        <v>0.2</v>
      </c>
      <c r="J49" s="2">
        <f t="shared" si="7"/>
        <v>5</v>
      </c>
      <c r="K49" s="2">
        <f t="shared" si="4"/>
        <v>100</v>
      </c>
      <c r="L49" s="5">
        <f t="shared" si="10"/>
        <v>0.8</v>
      </c>
      <c r="M49" s="2">
        <f t="shared" si="11"/>
        <v>1610</v>
      </c>
    </row>
    <row r="50" spans="1:13" x14ac:dyDescent="0.3">
      <c r="A50" s="1">
        <v>45882</v>
      </c>
      <c r="B50" s="2" t="s">
        <v>9</v>
      </c>
      <c r="C50" s="2">
        <v>3</v>
      </c>
      <c r="D50" s="2">
        <v>3</v>
      </c>
      <c r="E50" s="2">
        <f>SUM(5,5,5)</f>
        <v>15</v>
      </c>
      <c r="F50" s="2">
        <v>5</v>
      </c>
      <c r="G50" s="2">
        <v>6</v>
      </c>
      <c r="H50" s="2">
        <f>SUM(2147,1333,1763)</f>
        <v>5243</v>
      </c>
      <c r="I50" s="2">
        <v>0.44</v>
      </c>
      <c r="J50" s="2">
        <f t="shared" si="7"/>
        <v>3</v>
      </c>
      <c r="K50" s="2">
        <f t="shared" si="4"/>
        <v>100</v>
      </c>
      <c r="L50" s="5">
        <f t="shared" ref="L50:L52" si="12">G50/E50</f>
        <v>0.4</v>
      </c>
      <c r="M50" s="2">
        <f t="shared" si="11"/>
        <v>1747.67</v>
      </c>
    </row>
    <row r="51" spans="1:13" x14ac:dyDescent="0.3">
      <c r="A51" s="1">
        <v>45883</v>
      </c>
      <c r="B51" s="2" t="s">
        <v>9</v>
      </c>
      <c r="C51" s="2">
        <v>2</v>
      </c>
      <c r="D51" s="2">
        <v>2</v>
      </c>
      <c r="E51" s="2">
        <v>9</v>
      </c>
      <c r="F51" s="2">
        <v>4</v>
      </c>
      <c r="G51" s="2">
        <v>5</v>
      </c>
      <c r="H51" s="2">
        <f>SUM(1727,1640)</f>
        <v>3367</v>
      </c>
      <c r="I51" s="2">
        <v>0.48</v>
      </c>
      <c r="J51" s="2">
        <f t="shared" ref="J51:J116" si="13">ROUND(E51/F51,2)</f>
        <v>2.25</v>
      </c>
      <c r="K51" s="2">
        <f t="shared" si="4"/>
        <v>100</v>
      </c>
      <c r="L51" s="5">
        <f t="shared" si="12"/>
        <v>0.55555555555555558</v>
      </c>
      <c r="M51" s="2">
        <f t="shared" si="11"/>
        <v>1683.5</v>
      </c>
    </row>
    <row r="52" spans="1:13" x14ac:dyDescent="0.3">
      <c r="A52" s="1">
        <v>45885</v>
      </c>
      <c r="B52" s="2" t="s">
        <v>9</v>
      </c>
      <c r="C52" s="2">
        <v>4</v>
      </c>
      <c r="D52" s="2">
        <v>4</v>
      </c>
      <c r="E52" s="2">
        <v>15</v>
      </c>
      <c r="F52" s="2">
        <v>11</v>
      </c>
      <c r="G52" s="2">
        <v>9</v>
      </c>
      <c r="H52" s="2">
        <f>SUM(2080,309,2788,1640)</f>
        <v>6817</v>
      </c>
      <c r="I52" s="2">
        <v>0.59</v>
      </c>
      <c r="J52" s="2">
        <f t="shared" si="13"/>
        <v>1.36</v>
      </c>
      <c r="K52" s="2">
        <f t="shared" si="4"/>
        <v>100</v>
      </c>
      <c r="L52" s="5">
        <f t="shared" si="12"/>
        <v>0.6</v>
      </c>
      <c r="M52" s="2">
        <f t="shared" si="11"/>
        <v>1704.25</v>
      </c>
    </row>
    <row r="53" spans="1:13" x14ac:dyDescent="0.3">
      <c r="A53" s="1">
        <v>45886</v>
      </c>
      <c r="B53" s="2" t="s">
        <v>10</v>
      </c>
      <c r="C53" s="2">
        <v>2</v>
      </c>
      <c r="D53" s="2">
        <v>1</v>
      </c>
      <c r="E53" s="2">
        <v>11</v>
      </c>
      <c r="F53" s="2">
        <v>1</v>
      </c>
      <c r="G53" s="2">
        <v>6</v>
      </c>
      <c r="H53" s="2">
        <f>SUM(2835,1709)</f>
        <v>4544</v>
      </c>
      <c r="I53" s="2">
        <v>0.45</v>
      </c>
      <c r="J53" s="2">
        <f t="shared" si="13"/>
        <v>11</v>
      </c>
      <c r="K53" s="2">
        <f t="shared" si="4"/>
        <v>50</v>
      </c>
      <c r="L53" s="5">
        <f t="shared" ref="L53:L116" si="14">G53/E53</f>
        <v>0.54545454545454541</v>
      </c>
      <c r="M53" s="2">
        <f t="shared" ref="M53" si="15">ROUND(H53/C53,2)</f>
        <v>2272</v>
      </c>
    </row>
    <row r="54" spans="1:13" x14ac:dyDescent="0.3">
      <c r="A54" s="1">
        <v>45886</v>
      </c>
      <c r="B54" s="2" t="s">
        <v>9</v>
      </c>
      <c r="C54" s="2">
        <v>4</v>
      </c>
      <c r="D54" s="2">
        <v>4</v>
      </c>
      <c r="E54" s="2">
        <v>9</v>
      </c>
      <c r="F54" s="2">
        <v>7</v>
      </c>
      <c r="G54" s="2">
        <v>5</v>
      </c>
      <c r="H54" s="2">
        <f>SUM(267,2219,1991,789)</f>
        <v>5266</v>
      </c>
      <c r="I54" s="2">
        <v>0.56000000000000005</v>
      </c>
      <c r="J54" s="2">
        <f t="shared" si="13"/>
        <v>1.29</v>
      </c>
      <c r="K54" s="2">
        <f t="shared" si="4"/>
        <v>100</v>
      </c>
      <c r="L54" s="5">
        <f t="shared" si="14"/>
        <v>0.55555555555555558</v>
      </c>
      <c r="M54" s="2">
        <f t="shared" ref="M54:M117" si="16">ROUND(H54/C54,2)</f>
        <v>1316.5</v>
      </c>
    </row>
    <row r="55" spans="1:13" x14ac:dyDescent="0.3">
      <c r="A55" s="1">
        <v>45887</v>
      </c>
      <c r="B55" s="2" t="s">
        <v>9</v>
      </c>
      <c r="C55" s="2">
        <v>3</v>
      </c>
      <c r="D55" s="2">
        <v>3</v>
      </c>
      <c r="E55" s="2">
        <v>17</v>
      </c>
      <c r="F55" s="2">
        <v>9</v>
      </c>
      <c r="G55" s="2">
        <v>8</v>
      </c>
      <c r="H55" s="2">
        <f>SUM(1273,3860,1989)</f>
        <v>7122</v>
      </c>
      <c r="I55" s="2">
        <v>0.51</v>
      </c>
      <c r="J55" s="2">
        <f t="shared" si="13"/>
        <v>1.89</v>
      </c>
      <c r="K55" s="2">
        <f t="shared" si="4"/>
        <v>100</v>
      </c>
      <c r="L55" s="5">
        <f t="shared" si="14"/>
        <v>0.47058823529411764</v>
      </c>
      <c r="M55" s="2">
        <f t="shared" si="16"/>
        <v>2374</v>
      </c>
    </row>
    <row r="56" spans="1:13" x14ac:dyDescent="0.3">
      <c r="A56" s="1">
        <v>45887</v>
      </c>
      <c r="B56" s="2" t="s">
        <v>10</v>
      </c>
      <c r="C56" s="2">
        <v>1</v>
      </c>
      <c r="D56" s="2">
        <v>0</v>
      </c>
      <c r="E56" s="2">
        <v>3</v>
      </c>
      <c r="F56" s="2">
        <v>1</v>
      </c>
      <c r="G56" s="2">
        <v>3</v>
      </c>
      <c r="H56" s="2">
        <v>905</v>
      </c>
      <c r="I56" s="2">
        <v>0.18</v>
      </c>
      <c r="J56" s="2">
        <f t="shared" si="13"/>
        <v>3</v>
      </c>
      <c r="K56" s="2">
        <f t="shared" si="4"/>
        <v>0</v>
      </c>
      <c r="L56" s="5">
        <f t="shared" si="14"/>
        <v>1</v>
      </c>
      <c r="M56" s="2">
        <f t="shared" si="16"/>
        <v>905</v>
      </c>
    </row>
    <row r="57" spans="1:13" x14ac:dyDescent="0.3">
      <c r="A57" s="1">
        <v>45887</v>
      </c>
      <c r="B57" s="1" t="s">
        <v>11</v>
      </c>
      <c r="C57" s="2">
        <v>2</v>
      </c>
      <c r="D57" s="2">
        <v>1</v>
      </c>
      <c r="E57" s="2">
        <v>7</v>
      </c>
      <c r="F57" s="2">
        <v>6</v>
      </c>
      <c r="G57" s="2">
        <v>5</v>
      </c>
      <c r="H57" s="2">
        <f>SUM(855,1809)</f>
        <v>2664</v>
      </c>
      <c r="I57" s="2">
        <v>0.28000000000000003</v>
      </c>
      <c r="J57" s="2">
        <f t="shared" si="13"/>
        <v>1.17</v>
      </c>
      <c r="K57" s="2">
        <f t="shared" si="4"/>
        <v>50</v>
      </c>
      <c r="L57" s="5">
        <f t="shared" si="14"/>
        <v>0.7142857142857143</v>
      </c>
      <c r="M57" s="2">
        <f t="shared" si="16"/>
        <v>1332</v>
      </c>
    </row>
    <row r="58" spans="1:13" x14ac:dyDescent="0.3">
      <c r="A58" s="1">
        <v>45888</v>
      </c>
      <c r="B58" s="2" t="s">
        <v>9</v>
      </c>
      <c r="C58" s="2">
        <v>2</v>
      </c>
      <c r="D58" s="2">
        <v>2</v>
      </c>
      <c r="E58" s="2">
        <v>6</v>
      </c>
      <c r="F58" s="2">
        <v>7</v>
      </c>
      <c r="G58" s="2">
        <v>4</v>
      </c>
      <c r="H58" s="2">
        <f>SUM(1961,2464)</f>
        <v>4425</v>
      </c>
      <c r="I58" s="2">
        <v>0.47</v>
      </c>
      <c r="J58" s="2">
        <f t="shared" si="13"/>
        <v>0.86</v>
      </c>
      <c r="K58" s="2">
        <f t="shared" si="4"/>
        <v>100</v>
      </c>
      <c r="L58" s="5">
        <f t="shared" si="14"/>
        <v>0.66666666666666663</v>
      </c>
      <c r="M58" s="2">
        <f t="shared" si="16"/>
        <v>2212.5</v>
      </c>
    </row>
    <row r="59" spans="1:13" x14ac:dyDescent="0.3">
      <c r="A59" s="1">
        <v>45888</v>
      </c>
      <c r="B59" s="1" t="s">
        <v>11</v>
      </c>
      <c r="C59" s="2">
        <v>1</v>
      </c>
      <c r="D59" s="2">
        <v>1</v>
      </c>
      <c r="E59" s="2">
        <v>5</v>
      </c>
      <c r="F59" s="2">
        <v>4</v>
      </c>
      <c r="G59" s="2">
        <v>4</v>
      </c>
      <c r="H59" s="2">
        <v>1809</v>
      </c>
      <c r="I59" s="2">
        <v>0.18</v>
      </c>
      <c r="J59" s="2">
        <f t="shared" si="13"/>
        <v>1.25</v>
      </c>
      <c r="K59" s="2">
        <f t="shared" si="4"/>
        <v>100</v>
      </c>
      <c r="L59" s="5">
        <f t="shared" si="14"/>
        <v>0.8</v>
      </c>
      <c r="M59" s="2">
        <f t="shared" si="16"/>
        <v>1809</v>
      </c>
    </row>
    <row r="60" spans="1:13" x14ac:dyDescent="0.3">
      <c r="A60" s="1">
        <v>45889</v>
      </c>
      <c r="B60" s="2" t="s">
        <v>9</v>
      </c>
      <c r="C60" s="2">
        <v>4</v>
      </c>
      <c r="D60" s="2">
        <v>3</v>
      </c>
      <c r="E60" s="2">
        <v>19</v>
      </c>
      <c r="F60" s="2">
        <v>17</v>
      </c>
      <c r="G60" s="2">
        <v>10</v>
      </c>
      <c r="H60" s="2">
        <f>SUM(2491,2127,2084,2401)</f>
        <v>9103</v>
      </c>
      <c r="I60" s="2">
        <v>0.55000000000000004</v>
      </c>
      <c r="J60" s="2">
        <f t="shared" si="13"/>
        <v>1.1200000000000001</v>
      </c>
      <c r="K60" s="2">
        <f t="shared" si="4"/>
        <v>75</v>
      </c>
      <c r="L60" s="5">
        <f t="shared" si="14"/>
        <v>0.52631578947368418</v>
      </c>
      <c r="M60" s="2">
        <f t="shared" si="16"/>
        <v>2275.75</v>
      </c>
    </row>
    <row r="61" spans="1:13" x14ac:dyDescent="0.3">
      <c r="A61" s="1">
        <v>45890</v>
      </c>
      <c r="B61" s="2" t="s">
        <v>9</v>
      </c>
      <c r="C61" s="2">
        <v>3</v>
      </c>
      <c r="D61" s="2">
        <v>2</v>
      </c>
      <c r="E61" s="2">
        <v>18</v>
      </c>
      <c r="F61" s="2">
        <v>6</v>
      </c>
      <c r="G61" s="2">
        <v>12</v>
      </c>
      <c r="H61" s="2">
        <f>SUM(2338,1685,2672)</f>
        <v>6695</v>
      </c>
      <c r="I61" s="2">
        <v>0.52</v>
      </c>
      <c r="J61" s="2">
        <f t="shared" si="13"/>
        <v>3</v>
      </c>
      <c r="K61" s="2">
        <f t="shared" si="4"/>
        <v>66.67</v>
      </c>
      <c r="L61" s="5">
        <f t="shared" si="14"/>
        <v>0.66666666666666663</v>
      </c>
      <c r="M61" s="2">
        <f t="shared" si="16"/>
        <v>2231.67</v>
      </c>
    </row>
    <row r="62" spans="1:13" x14ac:dyDescent="0.3">
      <c r="A62" s="1">
        <v>45890</v>
      </c>
      <c r="B62" s="2" t="s">
        <v>10</v>
      </c>
      <c r="C62" s="2">
        <v>2</v>
      </c>
      <c r="D62" s="2">
        <v>0</v>
      </c>
      <c r="E62" s="2">
        <v>5</v>
      </c>
      <c r="F62" s="2">
        <v>2</v>
      </c>
      <c r="G62" s="2">
        <v>4</v>
      </c>
      <c r="H62" s="2">
        <f>SUM(917,619)</f>
        <v>1536</v>
      </c>
      <c r="I62" s="2">
        <v>0.9</v>
      </c>
      <c r="J62" s="2">
        <f t="shared" si="13"/>
        <v>2.5</v>
      </c>
      <c r="K62" s="2">
        <f t="shared" si="4"/>
        <v>0</v>
      </c>
      <c r="L62" s="5">
        <f t="shared" si="14"/>
        <v>0.8</v>
      </c>
      <c r="M62" s="2">
        <f t="shared" si="16"/>
        <v>768</v>
      </c>
    </row>
    <row r="63" spans="1:13" x14ac:dyDescent="0.3">
      <c r="A63" s="1">
        <v>45891</v>
      </c>
      <c r="B63" s="2" t="s">
        <v>9</v>
      </c>
      <c r="C63" s="2">
        <v>2</v>
      </c>
      <c r="D63" s="2">
        <v>1</v>
      </c>
      <c r="E63" s="2">
        <v>9</v>
      </c>
      <c r="F63" s="2">
        <v>8</v>
      </c>
      <c r="G63" s="2">
        <v>4</v>
      </c>
      <c r="H63" s="2">
        <f>SUM(2546,2743)</f>
        <v>5289</v>
      </c>
      <c r="I63" s="2">
        <v>0.44</v>
      </c>
      <c r="J63" s="2">
        <f t="shared" si="13"/>
        <v>1.1299999999999999</v>
      </c>
      <c r="K63" s="2">
        <f t="shared" si="4"/>
        <v>50</v>
      </c>
      <c r="L63" s="5">
        <f t="shared" si="14"/>
        <v>0.44444444444444442</v>
      </c>
      <c r="M63" s="2">
        <f t="shared" si="16"/>
        <v>2644.5</v>
      </c>
    </row>
    <row r="64" spans="1:13" x14ac:dyDescent="0.3">
      <c r="A64" s="1">
        <v>45892</v>
      </c>
      <c r="B64" s="2" t="s">
        <v>9</v>
      </c>
      <c r="C64" s="2">
        <v>5</v>
      </c>
      <c r="D64" s="2">
        <v>3</v>
      </c>
      <c r="E64" s="2">
        <f>SUM(3,4,2,6,6)</f>
        <v>21</v>
      </c>
      <c r="F64" s="2">
        <f>SUM(4,1,4,3,1)</f>
        <v>13</v>
      </c>
      <c r="G64" s="2">
        <v>14</v>
      </c>
      <c r="H64" s="2">
        <f>SUM(2522,2333,1728,1252,1762)</f>
        <v>9597</v>
      </c>
      <c r="I64" s="2">
        <v>1.4</v>
      </c>
      <c r="J64" s="2">
        <f t="shared" si="13"/>
        <v>1.62</v>
      </c>
      <c r="K64" s="2">
        <f t="shared" si="4"/>
        <v>60</v>
      </c>
      <c r="L64" s="5">
        <f t="shared" si="14"/>
        <v>0.66666666666666663</v>
      </c>
      <c r="M64" s="2">
        <f t="shared" si="16"/>
        <v>1919.4</v>
      </c>
    </row>
    <row r="65" spans="1:13" x14ac:dyDescent="0.3">
      <c r="A65" s="1">
        <v>45892</v>
      </c>
      <c r="B65" s="1" t="s">
        <v>11</v>
      </c>
      <c r="C65" s="2">
        <v>1</v>
      </c>
      <c r="D65" s="2">
        <v>1</v>
      </c>
      <c r="E65" s="2">
        <v>5</v>
      </c>
      <c r="F65" s="2">
        <v>2</v>
      </c>
      <c r="G65" s="2">
        <v>5</v>
      </c>
      <c r="H65" s="2">
        <v>1403</v>
      </c>
      <c r="I65" s="2">
        <v>0.15</v>
      </c>
      <c r="J65" s="2">
        <f t="shared" si="13"/>
        <v>2.5</v>
      </c>
      <c r="K65" s="2">
        <f t="shared" si="4"/>
        <v>100</v>
      </c>
      <c r="L65" s="5">
        <f t="shared" si="14"/>
        <v>1</v>
      </c>
      <c r="M65" s="2">
        <f t="shared" si="16"/>
        <v>1403</v>
      </c>
    </row>
    <row r="66" spans="1:13" x14ac:dyDescent="0.3">
      <c r="A66" s="1">
        <v>45893</v>
      </c>
      <c r="B66" s="2" t="s">
        <v>9</v>
      </c>
      <c r="C66" s="2">
        <v>1</v>
      </c>
      <c r="D66" s="2">
        <v>1</v>
      </c>
      <c r="E66" s="2">
        <v>5</v>
      </c>
      <c r="F66" s="2">
        <v>2</v>
      </c>
      <c r="G66" s="2">
        <v>4</v>
      </c>
      <c r="H66" s="2">
        <v>2322</v>
      </c>
      <c r="I66" s="2">
        <v>0.27</v>
      </c>
      <c r="J66" s="2">
        <f t="shared" si="13"/>
        <v>2.5</v>
      </c>
      <c r="K66" s="2">
        <f t="shared" si="4"/>
        <v>100</v>
      </c>
      <c r="L66" s="5">
        <f t="shared" si="14"/>
        <v>0.8</v>
      </c>
      <c r="M66" s="2">
        <f t="shared" si="16"/>
        <v>2322</v>
      </c>
    </row>
    <row r="67" spans="1:13" x14ac:dyDescent="0.3">
      <c r="A67" s="1">
        <v>45894</v>
      </c>
      <c r="B67" s="1" t="s">
        <v>11</v>
      </c>
      <c r="C67" s="2">
        <v>5</v>
      </c>
      <c r="D67" s="2">
        <v>4</v>
      </c>
      <c r="E67" s="2">
        <f>SUM(4,5,5,5,11)</f>
        <v>30</v>
      </c>
      <c r="F67" s="2">
        <f>SUM(3,1,2,1,5)</f>
        <v>12</v>
      </c>
      <c r="G67" s="2">
        <v>17</v>
      </c>
      <c r="H67" s="2">
        <f>SUM(1307,1445,1367,1296,2956)</f>
        <v>8371</v>
      </c>
      <c r="I67" s="2">
        <v>0.9</v>
      </c>
      <c r="J67" s="2">
        <f t="shared" si="13"/>
        <v>2.5</v>
      </c>
      <c r="K67" s="2">
        <f t="shared" si="4"/>
        <v>80</v>
      </c>
      <c r="L67" s="5">
        <f t="shared" si="14"/>
        <v>0.56666666666666665</v>
      </c>
      <c r="M67" s="2">
        <f t="shared" si="16"/>
        <v>1674.2</v>
      </c>
    </row>
    <row r="68" spans="1:13" x14ac:dyDescent="0.3">
      <c r="A68" s="1">
        <v>45894</v>
      </c>
      <c r="B68" s="2" t="s">
        <v>9</v>
      </c>
      <c r="C68" s="2">
        <v>3</v>
      </c>
      <c r="D68" s="2">
        <v>2</v>
      </c>
      <c r="E68" s="2">
        <v>16</v>
      </c>
      <c r="F68" s="2">
        <v>7</v>
      </c>
      <c r="G68" s="2">
        <v>9</v>
      </c>
      <c r="H68" s="2">
        <f>SUM(970,1067,3295)</f>
        <v>5332</v>
      </c>
      <c r="I68" s="2">
        <v>0.53</v>
      </c>
      <c r="J68" s="2">
        <f t="shared" si="13"/>
        <v>2.29</v>
      </c>
      <c r="K68" s="2">
        <f t="shared" si="4"/>
        <v>66.67</v>
      </c>
      <c r="L68" s="5">
        <f t="shared" si="14"/>
        <v>0.5625</v>
      </c>
      <c r="M68" s="2">
        <f t="shared" si="16"/>
        <v>1777.33</v>
      </c>
    </row>
    <row r="69" spans="1:13" x14ac:dyDescent="0.3">
      <c r="A69" s="1">
        <v>45897</v>
      </c>
      <c r="B69" s="2" t="s">
        <v>9</v>
      </c>
      <c r="C69" s="2">
        <v>1</v>
      </c>
      <c r="D69" s="2">
        <v>1</v>
      </c>
      <c r="E69" s="2">
        <v>7</v>
      </c>
      <c r="F69" s="2">
        <v>1</v>
      </c>
      <c r="G69" s="2">
        <v>5</v>
      </c>
      <c r="H69" s="2">
        <v>2388</v>
      </c>
      <c r="I69" s="2">
        <v>0.25</v>
      </c>
      <c r="J69" s="2">
        <f t="shared" si="13"/>
        <v>7</v>
      </c>
      <c r="K69" s="2">
        <f t="shared" si="4"/>
        <v>100</v>
      </c>
      <c r="L69" s="5">
        <f t="shared" si="14"/>
        <v>0.7142857142857143</v>
      </c>
      <c r="M69" s="2">
        <f t="shared" si="16"/>
        <v>2388</v>
      </c>
    </row>
    <row r="70" spans="1:13" x14ac:dyDescent="0.3">
      <c r="A70" s="1">
        <v>45898</v>
      </c>
      <c r="B70" s="2" t="s">
        <v>9</v>
      </c>
      <c r="C70" s="2">
        <v>2</v>
      </c>
      <c r="D70" s="2">
        <v>1</v>
      </c>
      <c r="E70" s="2">
        <v>11</v>
      </c>
      <c r="F70" s="2">
        <v>5</v>
      </c>
      <c r="G70" s="2">
        <v>5</v>
      </c>
      <c r="H70" s="2">
        <f>SUM(2009,4294)</f>
        <v>6303</v>
      </c>
      <c r="I70" s="2">
        <v>0.47</v>
      </c>
      <c r="J70" s="2">
        <f t="shared" si="13"/>
        <v>2.2000000000000002</v>
      </c>
      <c r="K70" s="2">
        <f t="shared" si="4"/>
        <v>50</v>
      </c>
      <c r="L70" s="5">
        <f t="shared" si="14"/>
        <v>0.45454545454545453</v>
      </c>
      <c r="M70" s="2">
        <f t="shared" si="16"/>
        <v>3151.5</v>
      </c>
    </row>
    <row r="71" spans="1:13" x14ac:dyDescent="0.3">
      <c r="A71" s="1">
        <v>45899</v>
      </c>
      <c r="B71" s="2" t="s">
        <v>9</v>
      </c>
      <c r="C71" s="2">
        <v>4</v>
      </c>
      <c r="D71" s="2">
        <v>2</v>
      </c>
      <c r="E71" s="2">
        <v>25</v>
      </c>
      <c r="F71" s="2">
        <v>14</v>
      </c>
      <c r="G71" s="2">
        <v>15</v>
      </c>
      <c r="H71" s="2">
        <f>SUM(1825,2437,2852,1972)</f>
        <v>9086</v>
      </c>
      <c r="I71" s="2">
        <v>0.52</v>
      </c>
      <c r="J71" s="2">
        <f t="shared" si="13"/>
        <v>1.79</v>
      </c>
      <c r="K71" s="2">
        <f t="shared" si="4"/>
        <v>50</v>
      </c>
      <c r="L71" s="5">
        <f t="shared" si="14"/>
        <v>0.6</v>
      </c>
      <c r="M71" s="2">
        <f t="shared" si="16"/>
        <v>2271.5</v>
      </c>
    </row>
    <row r="72" spans="1:13" x14ac:dyDescent="0.3">
      <c r="A72" s="1">
        <v>45899</v>
      </c>
      <c r="B72" s="1" t="s">
        <v>11</v>
      </c>
      <c r="C72" s="2">
        <v>2</v>
      </c>
      <c r="D72" s="2">
        <v>2</v>
      </c>
      <c r="E72" s="2">
        <v>10</v>
      </c>
      <c r="F72" s="2">
        <v>4</v>
      </c>
      <c r="G72" s="2">
        <v>7</v>
      </c>
      <c r="H72" s="2">
        <f>SUM(1449,1248)</f>
        <v>2697</v>
      </c>
      <c r="I72" s="2">
        <v>0.8</v>
      </c>
      <c r="J72" s="2">
        <f t="shared" si="13"/>
        <v>2.5</v>
      </c>
      <c r="K72" s="2">
        <f t="shared" si="4"/>
        <v>100</v>
      </c>
      <c r="L72" s="5">
        <f t="shared" si="14"/>
        <v>0.7</v>
      </c>
      <c r="M72" s="2">
        <f t="shared" si="16"/>
        <v>1348.5</v>
      </c>
    </row>
    <row r="73" spans="1:13" x14ac:dyDescent="0.3">
      <c r="A73" s="1">
        <v>45901</v>
      </c>
      <c r="B73" s="2" t="s">
        <v>9</v>
      </c>
      <c r="C73" s="2">
        <v>5</v>
      </c>
      <c r="D73" s="2">
        <v>3</v>
      </c>
      <c r="E73" s="2">
        <f>SUM(9,7,5,5,2)</f>
        <v>28</v>
      </c>
      <c r="F73" s="2">
        <f>SUM(2,6,3,5,5)</f>
        <v>21</v>
      </c>
      <c r="G73" s="2">
        <v>14</v>
      </c>
      <c r="H73" s="2">
        <f>SUM(3364,3804,1624,1999,939)</f>
        <v>11730</v>
      </c>
      <c r="I73" s="2">
        <v>1.7</v>
      </c>
      <c r="J73" s="2">
        <f t="shared" si="13"/>
        <v>1.33</v>
      </c>
      <c r="K73" s="2">
        <f t="shared" si="4"/>
        <v>60</v>
      </c>
      <c r="L73" s="5">
        <f t="shared" si="14"/>
        <v>0.5</v>
      </c>
      <c r="M73" s="2">
        <f t="shared" si="16"/>
        <v>2346</v>
      </c>
    </row>
    <row r="74" spans="1:13" x14ac:dyDescent="0.3">
      <c r="A74" s="1">
        <v>45901</v>
      </c>
      <c r="B74" s="1" t="s">
        <v>11</v>
      </c>
      <c r="C74" s="2">
        <v>4</v>
      </c>
      <c r="D74" s="2">
        <v>4</v>
      </c>
      <c r="E74" s="2">
        <v>20</v>
      </c>
      <c r="F74" s="2">
        <v>10</v>
      </c>
      <c r="G74" s="2">
        <v>15</v>
      </c>
      <c r="H74" s="2">
        <f>SUM(1976,1773,1980,1157)</f>
        <v>6886</v>
      </c>
      <c r="I74" s="2">
        <v>0.6</v>
      </c>
      <c r="J74" s="2">
        <f t="shared" si="13"/>
        <v>2</v>
      </c>
      <c r="K74" s="2">
        <f t="shared" si="4"/>
        <v>100</v>
      </c>
      <c r="L74" s="5">
        <f t="shared" si="14"/>
        <v>0.75</v>
      </c>
      <c r="M74" s="2">
        <f t="shared" si="16"/>
        <v>1721.5</v>
      </c>
    </row>
    <row r="75" spans="1:13" x14ac:dyDescent="0.3">
      <c r="A75" s="1">
        <v>45902</v>
      </c>
      <c r="B75" s="2" t="s">
        <v>9</v>
      </c>
      <c r="C75" s="2">
        <v>4</v>
      </c>
      <c r="D75" s="2">
        <v>2</v>
      </c>
      <c r="E75" s="2">
        <v>25</v>
      </c>
      <c r="F75" s="2">
        <v>10</v>
      </c>
      <c r="G75" s="2">
        <v>19</v>
      </c>
      <c r="H75" s="2">
        <f>SUM(2364,2760,2705,1901)</f>
        <v>9730</v>
      </c>
      <c r="I75" s="2">
        <v>0.54</v>
      </c>
      <c r="J75" s="2">
        <f t="shared" si="13"/>
        <v>2.5</v>
      </c>
      <c r="K75" s="2">
        <f t="shared" si="4"/>
        <v>50</v>
      </c>
      <c r="L75" s="5">
        <f t="shared" si="14"/>
        <v>0.76</v>
      </c>
      <c r="M75" s="2">
        <f t="shared" si="16"/>
        <v>2432.5</v>
      </c>
    </row>
    <row r="76" spans="1:13" x14ac:dyDescent="0.3">
      <c r="A76" s="1">
        <v>45903</v>
      </c>
      <c r="B76" s="2" t="s">
        <v>9</v>
      </c>
      <c r="C76" s="2">
        <v>2</v>
      </c>
      <c r="D76" s="2">
        <v>2</v>
      </c>
      <c r="E76" s="2">
        <v>7</v>
      </c>
      <c r="F76" s="2">
        <v>1</v>
      </c>
      <c r="G76" s="2">
        <v>4</v>
      </c>
      <c r="H76" s="2">
        <f>SUM(1600,2397)</f>
        <v>3997</v>
      </c>
      <c r="I76" s="2">
        <v>0.47</v>
      </c>
      <c r="J76" s="2">
        <f t="shared" si="13"/>
        <v>7</v>
      </c>
      <c r="K76" s="2">
        <f t="shared" si="4"/>
        <v>100</v>
      </c>
      <c r="L76" s="5">
        <f t="shared" si="14"/>
        <v>0.5714285714285714</v>
      </c>
      <c r="M76" s="2">
        <f t="shared" si="16"/>
        <v>1998.5</v>
      </c>
    </row>
    <row r="77" spans="1:13" x14ac:dyDescent="0.3">
      <c r="A77" s="1">
        <v>45904</v>
      </c>
      <c r="B77" s="2" t="s">
        <v>10</v>
      </c>
      <c r="C77" s="2">
        <v>1</v>
      </c>
      <c r="D77" s="2">
        <v>1</v>
      </c>
      <c r="E77" s="2">
        <v>12</v>
      </c>
      <c r="F77" s="2">
        <v>0</v>
      </c>
      <c r="G77" s="2">
        <v>6</v>
      </c>
      <c r="H77" s="2">
        <v>3519</v>
      </c>
      <c r="I77" s="2">
        <v>0.18</v>
      </c>
      <c r="J77" s="2">
        <f>IFERROR(E77/F77,0)</f>
        <v>0</v>
      </c>
      <c r="K77" s="2">
        <f t="shared" si="4"/>
        <v>100</v>
      </c>
      <c r="L77" s="5">
        <f t="shared" si="14"/>
        <v>0.5</v>
      </c>
      <c r="M77" s="2">
        <f t="shared" si="16"/>
        <v>3519</v>
      </c>
    </row>
    <row r="78" spans="1:13" x14ac:dyDescent="0.3">
      <c r="A78" s="1">
        <v>45904</v>
      </c>
      <c r="B78" s="2" t="s">
        <v>9</v>
      </c>
      <c r="C78" s="2">
        <v>1</v>
      </c>
      <c r="D78" s="2">
        <v>1</v>
      </c>
      <c r="E78" s="2">
        <v>4</v>
      </c>
      <c r="F78" s="2">
        <v>2</v>
      </c>
      <c r="G78" s="2">
        <v>4</v>
      </c>
      <c r="H78" s="2">
        <v>1469</v>
      </c>
      <c r="I78" s="2">
        <v>0.25</v>
      </c>
      <c r="J78" s="2">
        <f t="shared" si="13"/>
        <v>2</v>
      </c>
      <c r="K78" s="2">
        <f t="shared" si="4"/>
        <v>100</v>
      </c>
      <c r="L78" s="5">
        <f t="shared" si="14"/>
        <v>1</v>
      </c>
      <c r="M78" s="2">
        <f t="shared" si="16"/>
        <v>1469</v>
      </c>
    </row>
    <row r="79" spans="1:13" x14ac:dyDescent="0.3">
      <c r="A79" s="1">
        <v>45906</v>
      </c>
      <c r="B79" s="1" t="s">
        <v>11</v>
      </c>
      <c r="C79" s="2">
        <v>3</v>
      </c>
      <c r="D79" s="2">
        <v>3</v>
      </c>
      <c r="E79" s="2">
        <v>15</v>
      </c>
      <c r="F79" s="2">
        <v>3</v>
      </c>
      <c r="G79" s="2">
        <v>8</v>
      </c>
      <c r="H79" s="2">
        <f>SUM(1261,1331,1862)</f>
        <v>4454</v>
      </c>
      <c r="I79" s="2">
        <v>0.4</v>
      </c>
      <c r="J79" s="2">
        <f t="shared" si="13"/>
        <v>5</v>
      </c>
      <c r="K79" s="2">
        <f t="shared" si="4"/>
        <v>100</v>
      </c>
      <c r="L79" s="5">
        <f t="shared" si="14"/>
        <v>0.53333333333333333</v>
      </c>
      <c r="M79" s="2">
        <f t="shared" si="16"/>
        <v>1484.67</v>
      </c>
    </row>
    <row r="80" spans="1:13" x14ac:dyDescent="0.3">
      <c r="A80" s="1">
        <v>45906</v>
      </c>
      <c r="B80" s="2" t="s">
        <v>9</v>
      </c>
      <c r="C80" s="2">
        <v>4</v>
      </c>
      <c r="D80" s="2">
        <v>3</v>
      </c>
      <c r="E80" s="2">
        <v>31</v>
      </c>
      <c r="F80" s="2">
        <v>12</v>
      </c>
      <c r="G80" s="2">
        <v>19</v>
      </c>
      <c r="H80" s="2">
        <f>SUM(2667,1485,2266,2775)</f>
        <v>9193</v>
      </c>
      <c r="I80" s="2">
        <v>0.55000000000000004</v>
      </c>
      <c r="J80" s="2">
        <f t="shared" si="13"/>
        <v>2.58</v>
      </c>
      <c r="K80" s="2">
        <f t="shared" si="4"/>
        <v>75</v>
      </c>
      <c r="L80" s="5">
        <f t="shared" si="14"/>
        <v>0.61290322580645162</v>
      </c>
      <c r="M80" s="2">
        <f t="shared" si="16"/>
        <v>2298.25</v>
      </c>
    </row>
    <row r="81" spans="1:13" x14ac:dyDescent="0.3">
      <c r="A81" s="1">
        <v>45906</v>
      </c>
      <c r="B81" s="2" t="s">
        <v>10</v>
      </c>
      <c r="C81" s="2">
        <v>2</v>
      </c>
      <c r="D81" s="2">
        <v>0</v>
      </c>
      <c r="E81" s="2">
        <v>3</v>
      </c>
      <c r="F81" s="2">
        <v>2</v>
      </c>
      <c r="G81" s="2">
        <v>3</v>
      </c>
      <c r="H81" s="2">
        <f>SUM(523,358)</f>
        <v>881</v>
      </c>
      <c r="I81" s="2">
        <v>0.45</v>
      </c>
      <c r="J81" s="2">
        <f t="shared" si="13"/>
        <v>1.5</v>
      </c>
      <c r="K81" s="2">
        <f t="shared" si="4"/>
        <v>0</v>
      </c>
      <c r="L81" s="5">
        <f t="shared" si="14"/>
        <v>1</v>
      </c>
      <c r="M81" s="2">
        <f t="shared" si="16"/>
        <v>440.5</v>
      </c>
    </row>
    <row r="82" spans="1:13" x14ac:dyDescent="0.3">
      <c r="A82" s="1">
        <v>45907</v>
      </c>
      <c r="B82" s="2" t="s">
        <v>9</v>
      </c>
      <c r="C82" s="2">
        <v>3</v>
      </c>
      <c r="D82" s="2">
        <v>2</v>
      </c>
      <c r="E82" s="2">
        <f>SUM(6,9,6)</f>
        <v>21</v>
      </c>
      <c r="F82" s="2">
        <v>10</v>
      </c>
      <c r="G82" s="2">
        <v>10</v>
      </c>
      <c r="H82" s="2">
        <f>SUM(2159,3454,3296)</f>
        <v>8909</v>
      </c>
      <c r="I82" s="2">
        <v>0.48</v>
      </c>
      <c r="J82" s="2">
        <f t="shared" si="13"/>
        <v>2.1</v>
      </c>
      <c r="K82" s="2">
        <f t="shared" si="4"/>
        <v>66.67</v>
      </c>
      <c r="L82" s="5">
        <f t="shared" si="14"/>
        <v>0.47619047619047616</v>
      </c>
      <c r="M82" s="2">
        <f t="shared" si="16"/>
        <v>2969.67</v>
      </c>
    </row>
    <row r="83" spans="1:13" x14ac:dyDescent="0.3">
      <c r="A83" s="1">
        <v>45907</v>
      </c>
      <c r="B83" s="2" t="s">
        <v>10</v>
      </c>
      <c r="C83" s="2">
        <v>2</v>
      </c>
      <c r="D83" s="2">
        <v>1</v>
      </c>
      <c r="E83" s="2">
        <v>8</v>
      </c>
      <c r="F83" s="2">
        <v>1</v>
      </c>
      <c r="G83" s="2">
        <v>5</v>
      </c>
      <c r="H83" s="2">
        <f>SUM(1532,365)</f>
        <v>1897</v>
      </c>
      <c r="I83" s="2">
        <v>0.52</v>
      </c>
      <c r="J83" s="2">
        <f t="shared" si="13"/>
        <v>8</v>
      </c>
      <c r="K83" s="2">
        <f t="shared" si="4"/>
        <v>50</v>
      </c>
      <c r="L83" s="5">
        <f t="shared" si="14"/>
        <v>0.625</v>
      </c>
      <c r="M83" s="2">
        <f t="shared" si="16"/>
        <v>948.5</v>
      </c>
    </row>
    <row r="84" spans="1:13" x14ac:dyDescent="0.3">
      <c r="A84" s="1">
        <v>45908</v>
      </c>
      <c r="B84" s="2" t="s">
        <v>9</v>
      </c>
      <c r="C84" s="2">
        <v>3</v>
      </c>
      <c r="D84" s="2">
        <v>3</v>
      </c>
      <c r="E84" s="2">
        <v>18</v>
      </c>
      <c r="F84" s="2">
        <v>7</v>
      </c>
      <c r="G84" s="2">
        <v>9</v>
      </c>
      <c r="H84" s="2">
        <f>SUM(1825,1994,3157)</f>
        <v>6976</v>
      </c>
      <c r="I84" s="2">
        <v>0.53</v>
      </c>
      <c r="J84" s="2">
        <f t="shared" si="13"/>
        <v>2.57</v>
      </c>
      <c r="K84" s="2">
        <f t="shared" si="4"/>
        <v>100</v>
      </c>
      <c r="L84" s="5">
        <f t="shared" si="14"/>
        <v>0.5</v>
      </c>
      <c r="M84" s="2">
        <f t="shared" si="16"/>
        <v>2325.33</v>
      </c>
    </row>
    <row r="85" spans="1:13" x14ac:dyDescent="0.3">
      <c r="A85" s="1">
        <v>45909</v>
      </c>
      <c r="B85" s="2" t="s">
        <v>9</v>
      </c>
      <c r="C85" s="2">
        <v>4</v>
      </c>
      <c r="D85" s="2">
        <v>3</v>
      </c>
      <c r="E85" s="2">
        <v>17</v>
      </c>
      <c r="F85" s="2">
        <v>7</v>
      </c>
      <c r="G85" s="2">
        <v>11</v>
      </c>
      <c r="H85" s="2">
        <f>SUM(1496,1444,1670,2366)</f>
        <v>6976</v>
      </c>
      <c r="I85" s="2">
        <v>0.59</v>
      </c>
      <c r="J85" s="2">
        <f t="shared" si="13"/>
        <v>2.4300000000000002</v>
      </c>
      <c r="K85" s="2">
        <f t="shared" si="4"/>
        <v>75</v>
      </c>
      <c r="L85" s="5">
        <f t="shared" si="14"/>
        <v>0.6470588235294118</v>
      </c>
      <c r="M85" s="2">
        <f t="shared" si="16"/>
        <v>1744</v>
      </c>
    </row>
    <row r="86" spans="1:13" x14ac:dyDescent="0.3">
      <c r="A86" s="1">
        <v>45910</v>
      </c>
      <c r="B86" s="1" t="s">
        <v>11</v>
      </c>
      <c r="C86" s="2">
        <v>3</v>
      </c>
      <c r="D86" s="2">
        <v>3</v>
      </c>
      <c r="E86" s="2">
        <v>15</v>
      </c>
      <c r="F86" s="2">
        <v>7</v>
      </c>
      <c r="G86" s="2">
        <v>11</v>
      </c>
      <c r="H86" s="2">
        <f>SUM(1594,1783,1810)</f>
        <v>5187</v>
      </c>
      <c r="I86" s="2">
        <v>0.6</v>
      </c>
      <c r="J86" s="2">
        <f t="shared" si="13"/>
        <v>2.14</v>
      </c>
      <c r="K86" s="2">
        <f t="shared" si="4"/>
        <v>100</v>
      </c>
      <c r="L86" s="5">
        <f t="shared" si="14"/>
        <v>0.73333333333333328</v>
      </c>
      <c r="M86" s="2">
        <f t="shared" si="16"/>
        <v>1729</v>
      </c>
    </row>
    <row r="87" spans="1:13" x14ac:dyDescent="0.3">
      <c r="A87" s="1">
        <v>45910</v>
      </c>
      <c r="B87" s="2" t="s">
        <v>9</v>
      </c>
      <c r="C87" s="2">
        <v>1</v>
      </c>
      <c r="D87" s="2">
        <v>1</v>
      </c>
      <c r="E87" s="2">
        <v>8</v>
      </c>
      <c r="F87" s="2">
        <v>1</v>
      </c>
      <c r="G87" s="2">
        <v>5</v>
      </c>
      <c r="H87" s="2">
        <v>2628</v>
      </c>
      <c r="I87" s="2">
        <v>0.28000000000000003</v>
      </c>
      <c r="J87" s="2">
        <f t="shared" si="13"/>
        <v>8</v>
      </c>
      <c r="K87" s="2">
        <f t="shared" si="4"/>
        <v>100</v>
      </c>
      <c r="L87" s="5">
        <f t="shared" si="14"/>
        <v>0.625</v>
      </c>
      <c r="M87" s="2">
        <f t="shared" si="16"/>
        <v>2628</v>
      </c>
    </row>
    <row r="88" spans="1:13" x14ac:dyDescent="0.3">
      <c r="A88" s="1">
        <v>45910</v>
      </c>
      <c r="B88" s="2" t="s">
        <v>10</v>
      </c>
      <c r="C88" s="2">
        <v>3</v>
      </c>
      <c r="D88" s="2">
        <v>0</v>
      </c>
      <c r="E88" s="2">
        <v>9</v>
      </c>
      <c r="F88" s="2">
        <v>3</v>
      </c>
      <c r="G88" s="2">
        <v>7</v>
      </c>
      <c r="H88" s="2">
        <f>SUM(980,1221,1582)</f>
        <v>3783</v>
      </c>
      <c r="I88" s="2">
        <v>0.6</v>
      </c>
      <c r="J88" s="2">
        <f t="shared" si="13"/>
        <v>3</v>
      </c>
      <c r="K88" s="2">
        <f t="shared" si="4"/>
        <v>0</v>
      </c>
      <c r="L88" s="5">
        <f t="shared" si="14"/>
        <v>0.77777777777777779</v>
      </c>
      <c r="M88" s="2">
        <f t="shared" si="16"/>
        <v>1261</v>
      </c>
    </row>
    <row r="89" spans="1:13" x14ac:dyDescent="0.3">
      <c r="A89" s="1">
        <v>45912</v>
      </c>
      <c r="B89" s="2" t="s">
        <v>9</v>
      </c>
      <c r="C89" s="2">
        <v>2</v>
      </c>
      <c r="D89" s="2">
        <v>1</v>
      </c>
      <c r="E89" s="2">
        <v>9</v>
      </c>
      <c r="F89" s="2">
        <v>6</v>
      </c>
      <c r="G89" s="2">
        <v>7</v>
      </c>
      <c r="H89" s="2">
        <f>SUM(2193,2135)</f>
        <v>4328</v>
      </c>
      <c r="I89" s="2">
        <v>0.44</v>
      </c>
      <c r="J89" s="2">
        <f t="shared" si="13"/>
        <v>1.5</v>
      </c>
      <c r="K89" s="2">
        <f t="shared" si="4"/>
        <v>50</v>
      </c>
      <c r="L89" s="5">
        <f t="shared" si="14"/>
        <v>0.77777777777777779</v>
      </c>
      <c r="M89" s="2">
        <f t="shared" si="16"/>
        <v>2164</v>
      </c>
    </row>
    <row r="90" spans="1:13" x14ac:dyDescent="0.3">
      <c r="A90" s="1">
        <v>45912</v>
      </c>
      <c r="B90" s="2" t="s">
        <v>10</v>
      </c>
      <c r="C90" s="2">
        <v>1</v>
      </c>
      <c r="D90" s="2">
        <v>1</v>
      </c>
      <c r="E90" s="2">
        <v>5</v>
      </c>
      <c r="F90" s="2">
        <v>0</v>
      </c>
      <c r="G90" s="2">
        <v>4</v>
      </c>
      <c r="H90" s="2">
        <v>1642</v>
      </c>
      <c r="I90" s="2">
        <v>0.19</v>
      </c>
      <c r="J90" s="2">
        <f>IFERROR(E90/F90,0)</f>
        <v>0</v>
      </c>
      <c r="K90" s="2">
        <f t="shared" si="4"/>
        <v>100</v>
      </c>
      <c r="L90" s="5">
        <f t="shared" si="14"/>
        <v>0.8</v>
      </c>
      <c r="M90" s="2">
        <f t="shared" si="16"/>
        <v>1642</v>
      </c>
    </row>
    <row r="91" spans="1:13" x14ac:dyDescent="0.3">
      <c r="A91" s="1">
        <v>45913</v>
      </c>
      <c r="B91" s="2" t="s">
        <v>9</v>
      </c>
      <c r="C91" s="2">
        <v>2</v>
      </c>
      <c r="D91" s="2">
        <v>2</v>
      </c>
      <c r="E91" s="2">
        <v>13</v>
      </c>
      <c r="F91" s="2">
        <v>6</v>
      </c>
      <c r="G91" s="2">
        <v>8</v>
      </c>
      <c r="H91" s="2">
        <f>SUM(2852,2580)</f>
        <v>5432</v>
      </c>
      <c r="I91" s="2">
        <v>0.47</v>
      </c>
      <c r="J91" s="2">
        <f t="shared" si="13"/>
        <v>2.17</v>
      </c>
      <c r="K91" s="2">
        <f t="shared" si="4"/>
        <v>100</v>
      </c>
      <c r="L91" s="5">
        <f t="shared" si="14"/>
        <v>0.61538461538461542</v>
      </c>
      <c r="M91" s="2">
        <f t="shared" si="16"/>
        <v>2716</v>
      </c>
    </row>
    <row r="92" spans="1:13" x14ac:dyDescent="0.3">
      <c r="A92" s="1">
        <v>45914</v>
      </c>
      <c r="B92" s="1" t="s">
        <v>11</v>
      </c>
      <c r="C92" s="2">
        <v>2</v>
      </c>
      <c r="D92" s="2">
        <v>2</v>
      </c>
      <c r="E92" s="2">
        <v>10</v>
      </c>
      <c r="F92" s="2">
        <v>4</v>
      </c>
      <c r="G92" s="2">
        <v>5</v>
      </c>
      <c r="H92" s="2">
        <f>SUM(1202,1866)</f>
        <v>3068</v>
      </c>
      <c r="I92" s="2">
        <v>0.7</v>
      </c>
      <c r="J92" s="2">
        <f t="shared" si="13"/>
        <v>2.5</v>
      </c>
      <c r="K92" s="2">
        <f t="shared" si="4"/>
        <v>100</v>
      </c>
      <c r="L92" s="5">
        <f t="shared" si="14"/>
        <v>0.5</v>
      </c>
      <c r="M92" s="2">
        <f t="shared" si="16"/>
        <v>1534</v>
      </c>
    </row>
    <row r="93" spans="1:13" x14ac:dyDescent="0.3">
      <c r="A93" s="1">
        <v>45914</v>
      </c>
      <c r="B93" s="2" t="s">
        <v>9</v>
      </c>
      <c r="C93" s="2">
        <v>2</v>
      </c>
      <c r="D93" s="2">
        <v>1</v>
      </c>
      <c r="E93" s="2">
        <v>12</v>
      </c>
      <c r="F93" s="2">
        <v>6</v>
      </c>
      <c r="G93" s="2">
        <v>7</v>
      </c>
      <c r="H93" s="2">
        <f>SUM(3524,2569)</f>
        <v>6093</v>
      </c>
      <c r="I93" s="2">
        <v>0.42</v>
      </c>
      <c r="J93" s="2">
        <f t="shared" si="13"/>
        <v>2</v>
      </c>
      <c r="K93" s="2">
        <f t="shared" si="4"/>
        <v>50</v>
      </c>
      <c r="L93" s="5">
        <f t="shared" si="14"/>
        <v>0.58333333333333337</v>
      </c>
      <c r="M93" s="2">
        <f t="shared" si="16"/>
        <v>3046.5</v>
      </c>
    </row>
    <row r="94" spans="1:13" x14ac:dyDescent="0.3">
      <c r="A94" s="1">
        <v>45915</v>
      </c>
      <c r="B94" s="2" t="s">
        <v>9</v>
      </c>
      <c r="C94" s="2">
        <v>4</v>
      </c>
      <c r="D94" s="2">
        <v>3</v>
      </c>
      <c r="E94" s="2">
        <v>25</v>
      </c>
      <c r="F94" s="2">
        <v>10</v>
      </c>
      <c r="G94" s="2">
        <v>16</v>
      </c>
      <c r="H94" s="2">
        <f>SUM(2574,3725,1564,2549)</f>
        <v>10412</v>
      </c>
      <c r="I94" s="2">
        <v>0.54</v>
      </c>
      <c r="J94" s="2">
        <f t="shared" si="13"/>
        <v>2.5</v>
      </c>
      <c r="K94" s="2">
        <f t="shared" si="4"/>
        <v>75</v>
      </c>
      <c r="L94" s="5">
        <f t="shared" si="14"/>
        <v>0.64</v>
      </c>
      <c r="M94" s="2">
        <f t="shared" si="16"/>
        <v>2603</v>
      </c>
    </row>
    <row r="95" spans="1:13" x14ac:dyDescent="0.3">
      <c r="A95" s="1">
        <v>45916</v>
      </c>
      <c r="B95" s="2" t="s">
        <v>10</v>
      </c>
      <c r="C95" s="2">
        <v>1</v>
      </c>
      <c r="D95" s="2">
        <v>1</v>
      </c>
      <c r="E95" s="2">
        <v>7</v>
      </c>
      <c r="F95" s="2">
        <v>0</v>
      </c>
      <c r="G95" s="2">
        <v>4</v>
      </c>
      <c r="H95" s="2">
        <v>1989</v>
      </c>
      <c r="I95" s="2">
        <v>0.18</v>
      </c>
      <c r="J95" s="2">
        <f>IFERROR(ED9574,0)</f>
        <v>0</v>
      </c>
      <c r="K95" s="2">
        <f t="shared" si="4"/>
        <v>100</v>
      </c>
      <c r="L95" s="5">
        <f t="shared" si="14"/>
        <v>0.5714285714285714</v>
      </c>
      <c r="M95" s="2">
        <f t="shared" si="16"/>
        <v>1989</v>
      </c>
    </row>
    <row r="96" spans="1:13" x14ac:dyDescent="0.3">
      <c r="A96" s="1">
        <v>45916</v>
      </c>
      <c r="B96" s="2" t="s">
        <v>9</v>
      </c>
      <c r="C96" s="2">
        <v>3</v>
      </c>
      <c r="D96" s="2">
        <v>3</v>
      </c>
      <c r="E96" s="2">
        <v>20</v>
      </c>
      <c r="F96" s="2">
        <v>10</v>
      </c>
      <c r="G96" s="2">
        <v>9</v>
      </c>
      <c r="H96" s="2">
        <f>SUM(3342,2455,3216)</f>
        <v>9013</v>
      </c>
      <c r="I96" s="2">
        <v>0.52</v>
      </c>
      <c r="J96" s="2">
        <f t="shared" si="13"/>
        <v>2</v>
      </c>
      <c r="K96" s="2">
        <f t="shared" si="4"/>
        <v>100</v>
      </c>
      <c r="L96" s="5">
        <f t="shared" si="14"/>
        <v>0.45</v>
      </c>
      <c r="M96" s="2">
        <f t="shared" si="16"/>
        <v>3004.33</v>
      </c>
    </row>
    <row r="97" spans="1:13" x14ac:dyDescent="0.3">
      <c r="A97" s="1">
        <v>45918</v>
      </c>
      <c r="B97" s="2" t="s">
        <v>9</v>
      </c>
      <c r="C97" s="2">
        <v>3</v>
      </c>
      <c r="D97" s="2">
        <v>3</v>
      </c>
      <c r="E97" s="2">
        <v>15</v>
      </c>
      <c r="F97" s="2">
        <v>6</v>
      </c>
      <c r="G97" s="2">
        <v>7</v>
      </c>
      <c r="H97" s="2">
        <f>SUM(2081,1773,1683)</f>
        <v>5537</v>
      </c>
      <c r="I97" s="2">
        <v>0.56999999999999995</v>
      </c>
      <c r="J97" s="2">
        <f t="shared" si="13"/>
        <v>2.5</v>
      </c>
      <c r="K97" s="2">
        <f t="shared" si="4"/>
        <v>100</v>
      </c>
      <c r="L97" s="5">
        <f t="shared" si="14"/>
        <v>0.46666666666666667</v>
      </c>
      <c r="M97" s="2">
        <f t="shared" si="16"/>
        <v>1845.67</v>
      </c>
    </row>
    <row r="98" spans="1:13" x14ac:dyDescent="0.3">
      <c r="A98" s="1">
        <v>45919</v>
      </c>
      <c r="B98" s="1" t="s">
        <v>11</v>
      </c>
      <c r="C98" s="2">
        <v>1</v>
      </c>
      <c r="D98" s="2">
        <v>1</v>
      </c>
      <c r="E98" s="2">
        <v>5</v>
      </c>
      <c r="F98" s="2">
        <v>2</v>
      </c>
      <c r="G98" s="2">
        <v>3</v>
      </c>
      <c r="H98" s="2">
        <v>1681</v>
      </c>
      <c r="I98" s="2">
        <v>0.18</v>
      </c>
      <c r="J98" s="2">
        <f t="shared" si="13"/>
        <v>2.5</v>
      </c>
      <c r="K98" s="2">
        <f t="shared" si="4"/>
        <v>100</v>
      </c>
      <c r="L98" s="5">
        <f t="shared" si="14"/>
        <v>0.6</v>
      </c>
      <c r="M98" s="2">
        <f t="shared" si="16"/>
        <v>1681</v>
      </c>
    </row>
    <row r="99" spans="1:13" x14ac:dyDescent="0.3">
      <c r="A99" s="1">
        <v>45919</v>
      </c>
      <c r="B99" s="2" t="s">
        <v>9</v>
      </c>
      <c r="C99" s="2">
        <v>1</v>
      </c>
      <c r="D99" s="2">
        <v>1</v>
      </c>
      <c r="E99" s="2">
        <v>6</v>
      </c>
      <c r="F99" s="2">
        <v>2</v>
      </c>
      <c r="G99" s="2">
        <v>4</v>
      </c>
      <c r="H99" s="2">
        <v>2081</v>
      </c>
      <c r="I99" s="2">
        <v>0.25</v>
      </c>
      <c r="J99" s="2">
        <f t="shared" si="13"/>
        <v>3</v>
      </c>
      <c r="K99" s="2">
        <f t="shared" si="4"/>
        <v>100</v>
      </c>
      <c r="L99" s="5">
        <f t="shared" si="14"/>
        <v>0.66666666666666663</v>
      </c>
      <c r="M99" s="2">
        <f t="shared" si="16"/>
        <v>2081</v>
      </c>
    </row>
    <row r="100" spans="1:13" x14ac:dyDescent="0.3">
      <c r="A100" s="1">
        <v>45919</v>
      </c>
      <c r="B100" s="2" t="s">
        <v>10</v>
      </c>
      <c r="C100" s="2">
        <v>1</v>
      </c>
      <c r="D100" s="2">
        <v>0</v>
      </c>
      <c r="E100" s="2">
        <v>4</v>
      </c>
      <c r="F100" s="2">
        <v>1</v>
      </c>
      <c r="G100" s="2">
        <v>2</v>
      </c>
      <c r="H100" s="2">
        <v>1724</v>
      </c>
      <c r="I100" s="2">
        <v>0.28000000000000003</v>
      </c>
      <c r="J100" s="2">
        <f t="shared" si="13"/>
        <v>4</v>
      </c>
      <c r="K100" s="2">
        <f t="shared" si="4"/>
        <v>0</v>
      </c>
      <c r="L100" s="5">
        <f t="shared" si="14"/>
        <v>0.5</v>
      </c>
      <c r="M100" s="2">
        <f t="shared" si="16"/>
        <v>1724</v>
      </c>
    </row>
    <row r="101" spans="1:13" x14ac:dyDescent="0.3">
      <c r="A101" s="1">
        <v>45920</v>
      </c>
      <c r="B101" s="2" t="s">
        <v>9</v>
      </c>
      <c r="C101" s="2">
        <v>3</v>
      </c>
      <c r="D101" s="2">
        <v>1</v>
      </c>
      <c r="E101" s="2">
        <v>18</v>
      </c>
      <c r="F101" s="2">
        <v>13</v>
      </c>
      <c r="G101" s="2">
        <v>11</v>
      </c>
      <c r="H101" s="2">
        <f>SUM(2021,2803,1212)</f>
        <v>6036</v>
      </c>
      <c r="I101" s="2">
        <v>0.56000000000000005</v>
      </c>
      <c r="J101" s="2">
        <f t="shared" si="13"/>
        <v>1.38</v>
      </c>
      <c r="K101" s="2">
        <f t="shared" si="4"/>
        <v>33.33</v>
      </c>
      <c r="L101" s="5">
        <f t="shared" si="14"/>
        <v>0.61111111111111116</v>
      </c>
      <c r="M101" s="2">
        <f t="shared" si="16"/>
        <v>2012</v>
      </c>
    </row>
    <row r="102" spans="1:13" x14ac:dyDescent="0.3">
      <c r="A102" s="1">
        <v>45921</v>
      </c>
      <c r="B102" s="1" t="s">
        <v>11</v>
      </c>
      <c r="C102" s="2">
        <v>1</v>
      </c>
      <c r="D102" s="2">
        <v>1</v>
      </c>
      <c r="E102" s="2">
        <v>5</v>
      </c>
      <c r="F102" s="2">
        <v>2</v>
      </c>
      <c r="G102" s="2">
        <v>4</v>
      </c>
      <c r="H102" s="2">
        <v>2202</v>
      </c>
      <c r="I102" s="2">
        <v>0.7</v>
      </c>
      <c r="J102" s="2">
        <f t="shared" si="13"/>
        <v>2.5</v>
      </c>
      <c r="K102" s="2">
        <f t="shared" si="4"/>
        <v>100</v>
      </c>
      <c r="L102" s="5">
        <f t="shared" si="14"/>
        <v>0.8</v>
      </c>
      <c r="M102" s="2">
        <f t="shared" si="16"/>
        <v>2202</v>
      </c>
    </row>
    <row r="103" spans="1:13" x14ac:dyDescent="0.3">
      <c r="A103" s="1">
        <v>45921</v>
      </c>
      <c r="B103" s="2" t="s">
        <v>9</v>
      </c>
      <c r="C103" s="2">
        <v>2</v>
      </c>
      <c r="D103" s="2">
        <v>1</v>
      </c>
      <c r="E103" s="2">
        <v>17</v>
      </c>
      <c r="F103" s="2">
        <v>7</v>
      </c>
      <c r="G103" s="2">
        <v>12</v>
      </c>
      <c r="H103" s="2">
        <f>SUM(3087,4830)</f>
        <v>7917</v>
      </c>
      <c r="I103" s="2">
        <v>0.47</v>
      </c>
      <c r="J103" s="2">
        <f t="shared" si="13"/>
        <v>2.4300000000000002</v>
      </c>
      <c r="K103" s="2">
        <f t="shared" si="4"/>
        <v>50</v>
      </c>
      <c r="L103" s="5">
        <f t="shared" si="14"/>
        <v>0.70588235294117652</v>
      </c>
      <c r="M103" s="2">
        <f t="shared" si="16"/>
        <v>3958.5</v>
      </c>
    </row>
    <row r="104" spans="1:13" x14ac:dyDescent="0.3">
      <c r="A104" s="1">
        <v>45922</v>
      </c>
      <c r="B104" s="2" t="s">
        <v>9</v>
      </c>
      <c r="C104" s="2">
        <v>5</v>
      </c>
      <c r="D104" s="2">
        <v>5</v>
      </c>
      <c r="E104" s="2">
        <f>SUM(5,8,3,5,5)</f>
        <v>26</v>
      </c>
      <c r="F104" s="2">
        <v>12</v>
      </c>
      <c r="G104" s="2">
        <v>9</v>
      </c>
      <c r="H104" s="2">
        <f>SUM(2975,3853,1088,1931,1962)</f>
        <v>11809</v>
      </c>
      <c r="I104" s="2">
        <v>1.6</v>
      </c>
      <c r="J104" s="2">
        <f t="shared" si="13"/>
        <v>2.17</v>
      </c>
      <c r="K104" s="2">
        <f t="shared" si="4"/>
        <v>100</v>
      </c>
      <c r="L104" s="5">
        <f t="shared" si="14"/>
        <v>0.34615384615384615</v>
      </c>
      <c r="M104" s="2">
        <f t="shared" si="16"/>
        <v>2361.8000000000002</v>
      </c>
    </row>
    <row r="105" spans="1:13" x14ac:dyDescent="0.3">
      <c r="A105" s="1">
        <v>45922</v>
      </c>
      <c r="B105" s="2" t="s">
        <v>10</v>
      </c>
      <c r="C105" s="2">
        <v>3</v>
      </c>
      <c r="D105" s="2">
        <v>0</v>
      </c>
      <c r="E105" s="2">
        <v>6</v>
      </c>
      <c r="F105" s="2">
        <v>3</v>
      </c>
      <c r="G105" s="2">
        <v>4</v>
      </c>
      <c r="H105" s="2">
        <f>SUM(1100,755,797)</f>
        <v>2652</v>
      </c>
      <c r="I105" s="2">
        <v>0.6</v>
      </c>
      <c r="J105" s="2">
        <f t="shared" si="13"/>
        <v>2</v>
      </c>
      <c r="K105" s="2">
        <f t="shared" si="4"/>
        <v>0</v>
      </c>
      <c r="L105" s="5">
        <f t="shared" si="14"/>
        <v>0.66666666666666663</v>
      </c>
      <c r="M105" s="2">
        <f t="shared" si="16"/>
        <v>884</v>
      </c>
    </row>
    <row r="106" spans="1:13" x14ac:dyDescent="0.3">
      <c r="A106" s="1">
        <v>45923</v>
      </c>
      <c r="B106" s="2" t="s">
        <v>9</v>
      </c>
      <c r="C106" s="2">
        <v>5</v>
      </c>
      <c r="D106" s="2">
        <v>4</v>
      </c>
      <c r="E106" s="2">
        <f>SUM(5,4,6,6,10)</f>
        <v>31</v>
      </c>
      <c r="F106" s="2">
        <v>11</v>
      </c>
      <c r="G106" s="2">
        <v>16</v>
      </c>
      <c r="H106" s="2">
        <f>SUM(2477,1053,1837,4894,2064)</f>
        <v>12325</v>
      </c>
      <c r="I106" s="2">
        <v>1.9</v>
      </c>
      <c r="J106" s="2">
        <f t="shared" si="13"/>
        <v>2.82</v>
      </c>
      <c r="K106" s="2">
        <f t="shared" si="4"/>
        <v>80</v>
      </c>
      <c r="L106" s="5">
        <f t="shared" si="14"/>
        <v>0.5161290322580645</v>
      </c>
      <c r="M106" s="2">
        <f t="shared" si="16"/>
        <v>2465</v>
      </c>
    </row>
    <row r="107" spans="1:13" x14ac:dyDescent="0.3">
      <c r="A107" s="1">
        <v>45924</v>
      </c>
      <c r="B107" s="2" t="s">
        <v>9</v>
      </c>
      <c r="C107" s="2">
        <v>2</v>
      </c>
      <c r="D107" s="2">
        <v>2</v>
      </c>
      <c r="E107" s="2">
        <v>11</v>
      </c>
      <c r="F107" s="2">
        <v>6</v>
      </c>
      <c r="G107" s="2">
        <v>6</v>
      </c>
      <c r="H107" s="2">
        <f>SUM(1965,1839)</f>
        <v>3804</v>
      </c>
      <c r="I107" s="2">
        <v>0.44</v>
      </c>
      <c r="J107" s="2">
        <f t="shared" si="13"/>
        <v>1.83</v>
      </c>
      <c r="K107" s="2">
        <f t="shared" si="4"/>
        <v>100</v>
      </c>
      <c r="L107" s="5">
        <f t="shared" si="14"/>
        <v>0.54545454545454541</v>
      </c>
      <c r="M107" s="2">
        <f t="shared" si="16"/>
        <v>1902</v>
      </c>
    </row>
    <row r="108" spans="1:13" x14ac:dyDescent="0.3">
      <c r="A108" s="1">
        <v>45924</v>
      </c>
      <c r="B108" s="2" t="s">
        <v>10</v>
      </c>
      <c r="C108" s="2">
        <v>2</v>
      </c>
      <c r="D108" s="2">
        <v>1</v>
      </c>
      <c r="E108" s="2">
        <v>12</v>
      </c>
      <c r="F108" s="2">
        <v>1</v>
      </c>
      <c r="G108" s="2">
        <v>4</v>
      </c>
      <c r="H108" s="2">
        <f>SUM(3196,945)</f>
        <v>4141</v>
      </c>
      <c r="I108" s="2">
        <v>0.47</v>
      </c>
      <c r="J108" s="2">
        <f t="shared" si="13"/>
        <v>12</v>
      </c>
      <c r="K108" s="2">
        <f t="shared" si="4"/>
        <v>50</v>
      </c>
      <c r="L108" s="5">
        <f t="shared" si="14"/>
        <v>0.33333333333333331</v>
      </c>
      <c r="M108" s="2">
        <f t="shared" si="16"/>
        <v>2070.5</v>
      </c>
    </row>
    <row r="109" spans="1:13" x14ac:dyDescent="0.3">
      <c r="A109" s="1">
        <v>45924</v>
      </c>
      <c r="B109" s="1" t="s">
        <v>11</v>
      </c>
      <c r="C109" s="2">
        <v>3</v>
      </c>
      <c r="D109" s="2">
        <v>3</v>
      </c>
      <c r="E109" s="2">
        <v>15</v>
      </c>
      <c r="F109" s="2">
        <v>4</v>
      </c>
      <c r="G109" s="2">
        <v>6</v>
      </c>
      <c r="H109" s="2">
        <f>SUM(1374,1618,1409)</f>
        <v>4401</v>
      </c>
      <c r="I109" s="2">
        <v>0.6</v>
      </c>
      <c r="J109" s="2">
        <f t="shared" si="13"/>
        <v>3.75</v>
      </c>
      <c r="K109" s="2">
        <f t="shared" si="4"/>
        <v>100</v>
      </c>
      <c r="L109" s="5">
        <f t="shared" si="14"/>
        <v>0.4</v>
      </c>
      <c r="M109" s="2">
        <f t="shared" si="16"/>
        <v>1467</v>
      </c>
    </row>
    <row r="110" spans="1:13" x14ac:dyDescent="0.3">
      <c r="A110" s="1">
        <v>45925</v>
      </c>
      <c r="B110" s="2" t="s">
        <v>9</v>
      </c>
      <c r="C110" s="2">
        <v>3</v>
      </c>
      <c r="D110" s="2">
        <v>3</v>
      </c>
      <c r="E110" s="2">
        <v>22</v>
      </c>
      <c r="F110" s="2">
        <v>6</v>
      </c>
      <c r="G110" s="2">
        <v>15</v>
      </c>
      <c r="H110" s="2">
        <f>SUM(2403,3412,2858)</f>
        <v>8673</v>
      </c>
      <c r="I110" s="2">
        <v>0.55000000000000004</v>
      </c>
      <c r="J110" s="2">
        <f t="shared" si="13"/>
        <v>3.67</v>
      </c>
      <c r="K110" s="2">
        <f t="shared" si="4"/>
        <v>100</v>
      </c>
      <c r="L110" s="5">
        <f t="shared" si="14"/>
        <v>0.68181818181818177</v>
      </c>
      <c r="M110" s="2">
        <f t="shared" si="16"/>
        <v>2891</v>
      </c>
    </row>
    <row r="111" spans="1:13" x14ac:dyDescent="0.3">
      <c r="A111" s="1">
        <v>45925</v>
      </c>
      <c r="B111" s="1" t="s">
        <v>11</v>
      </c>
      <c r="C111" s="2">
        <v>4</v>
      </c>
      <c r="D111" s="2">
        <v>3</v>
      </c>
      <c r="E111" s="2">
        <v>19</v>
      </c>
      <c r="F111" s="2">
        <v>6</v>
      </c>
      <c r="G111" s="2">
        <v>9</v>
      </c>
      <c r="H111" s="2">
        <v>5834</v>
      </c>
      <c r="I111" s="2">
        <v>0.7</v>
      </c>
      <c r="J111" s="2">
        <f t="shared" si="13"/>
        <v>3.17</v>
      </c>
      <c r="K111" s="2">
        <f t="shared" si="4"/>
        <v>75</v>
      </c>
      <c r="L111" s="5">
        <f t="shared" si="14"/>
        <v>0.47368421052631576</v>
      </c>
      <c r="M111" s="2">
        <f t="shared" si="16"/>
        <v>1458.5</v>
      </c>
    </row>
    <row r="112" spans="1:13" x14ac:dyDescent="0.3">
      <c r="A112" s="1">
        <v>45927</v>
      </c>
      <c r="B112" s="2" t="s">
        <v>9</v>
      </c>
      <c r="C112" s="2">
        <v>5</v>
      </c>
      <c r="D112" s="2">
        <v>3</v>
      </c>
      <c r="E112" s="2">
        <f>SUM(8,6,0,6,4)</f>
        <v>24</v>
      </c>
      <c r="F112" s="2">
        <v>15</v>
      </c>
      <c r="G112" s="2">
        <v>10</v>
      </c>
      <c r="H112" s="2">
        <f>SUM(2906,2491,1154,2492,2107)</f>
        <v>11150</v>
      </c>
      <c r="I112" s="2">
        <v>1.7</v>
      </c>
      <c r="J112" s="2">
        <f t="shared" si="13"/>
        <v>1.6</v>
      </c>
      <c r="K112" s="2">
        <f t="shared" si="4"/>
        <v>60</v>
      </c>
      <c r="L112" s="5">
        <f t="shared" si="14"/>
        <v>0.41666666666666669</v>
      </c>
      <c r="M112" s="2">
        <f t="shared" si="16"/>
        <v>2230</v>
      </c>
    </row>
    <row r="113" spans="1:13" x14ac:dyDescent="0.3">
      <c r="A113" s="1">
        <v>45927</v>
      </c>
      <c r="B113" s="2" t="s">
        <v>10</v>
      </c>
      <c r="C113" s="2">
        <v>1</v>
      </c>
      <c r="D113" s="2">
        <v>1</v>
      </c>
      <c r="E113" s="2">
        <v>6</v>
      </c>
      <c r="F113" s="2">
        <v>0</v>
      </c>
      <c r="G113" s="2">
        <v>3</v>
      </c>
      <c r="H113" s="2">
        <v>1773</v>
      </c>
      <c r="I113" s="2">
        <v>0.28000000000000003</v>
      </c>
      <c r="J113" s="2">
        <f>IFERROR(E113/F113,0)</f>
        <v>0</v>
      </c>
      <c r="K113" s="2">
        <f t="shared" si="4"/>
        <v>100</v>
      </c>
      <c r="L113" s="5">
        <f t="shared" si="14"/>
        <v>0.5</v>
      </c>
      <c r="M113" s="2">
        <f t="shared" si="16"/>
        <v>1773</v>
      </c>
    </row>
    <row r="114" spans="1:13" x14ac:dyDescent="0.3">
      <c r="A114" s="1">
        <v>45928</v>
      </c>
      <c r="B114" s="2" t="s">
        <v>9</v>
      </c>
      <c r="C114" s="2">
        <v>2</v>
      </c>
      <c r="D114" s="2">
        <v>2</v>
      </c>
      <c r="E114" s="2">
        <v>13</v>
      </c>
      <c r="F114" s="2">
        <v>4</v>
      </c>
      <c r="G114" s="2">
        <v>8</v>
      </c>
      <c r="H114" s="2">
        <f>SUM(3204,3907)</f>
        <v>7111</v>
      </c>
      <c r="I114" s="2">
        <v>0.44</v>
      </c>
      <c r="J114" s="2">
        <f t="shared" si="13"/>
        <v>3.25</v>
      </c>
      <c r="K114" s="2">
        <f t="shared" si="4"/>
        <v>100</v>
      </c>
      <c r="L114" s="5">
        <f t="shared" si="14"/>
        <v>0.61538461538461542</v>
      </c>
      <c r="M114" s="2">
        <f t="shared" si="16"/>
        <v>3555.5</v>
      </c>
    </row>
    <row r="115" spans="1:13" x14ac:dyDescent="0.3">
      <c r="A115" s="1">
        <v>45930</v>
      </c>
      <c r="B115" s="2" t="s">
        <v>10</v>
      </c>
      <c r="C115" s="2">
        <v>4</v>
      </c>
      <c r="D115" s="2">
        <v>3</v>
      </c>
      <c r="E115" s="2">
        <v>16</v>
      </c>
      <c r="F115" s="2">
        <v>1</v>
      </c>
      <c r="G115" s="2">
        <v>7</v>
      </c>
      <c r="H115" s="2">
        <v>6672</v>
      </c>
      <c r="I115" s="2">
        <v>0.14000000000000001</v>
      </c>
      <c r="J115" s="2">
        <f t="shared" si="13"/>
        <v>16</v>
      </c>
      <c r="K115" s="2">
        <f t="shared" si="4"/>
        <v>75</v>
      </c>
      <c r="L115" s="5">
        <f t="shared" si="14"/>
        <v>0.4375</v>
      </c>
      <c r="M115" s="2">
        <f t="shared" si="16"/>
        <v>1668</v>
      </c>
    </row>
    <row r="116" spans="1:13" x14ac:dyDescent="0.3">
      <c r="A116" s="1">
        <v>45930</v>
      </c>
      <c r="B116" s="1" t="s">
        <v>11</v>
      </c>
      <c r="C116" s="2">
        <v>2</v>
      </c>
      <c r="D116" s="2">
        <v>2</v>
      </c>
      <c r="E116" s="2">
        <v>10</v>
      </c>
      <c r="F116" s="2">
        <v>5</v>
      </c>
      <c r="G116" s="2">
        <v>4</v>
      </c>
      <c r="H116" s="2">
        <f>SUM(2073,1364)</f>
        <v>3437</v>
      </c>
      <c r="I116" s="2">
        <v>0.7</v>
      </c>
      <c r="J116" s="2">
        <f t="shared" si="13"/>
        <v>2</v>
      </c>
      <c r="K116" s="2">
        <f t="shared" si="4"/>
        <v>100</v>
      </c>
      <c r="L116" s="5">
        <f t="shared" si="14"/>
        <v>0.4</v>
      </c>
      <c r="M116" s="2">
        <f t="shared" si="16"/>
        <v>1718.5</v>
      </c>
    </row>
    <row r="117" spans="1:13" x14ac:dyDescent="0.3">
      <c r="A117" s="1">
        <v>45930</v>
      </c>
      <c r="B117" s="2" t="s">
        <v>9</v>
      </c>
      <c r="C117" s="2">
        <v>7</v>
      </c>
      <c r="D117" s="2">
        <v>5</v>
      </c>
      <c r="E117" s="2">
        <v>27</v>
      </c>
      <c r="F117" s="2">
        <v>8</v>
      </c>
      <c r="G117" s="2">
        <v>16</v>
      </c>
      <c r="H117" s="2">
        <v>9073</v>
      </c>
      <c r="I117" s="2">
        <v>1.25</v>
      </c>
      <c r="J117" s="2">
        <f t="shared" ref="J117" si="17">ROUND(E117/F117,2)</f>
        <v>3.38</v>
      </c>
      <c r="K117" s="2">
        <f t="shared" ref="K117" si="18">ROUND((D117/C117)*100,2)</f>
        <v>71.430000000000007</v>
      </c>
      <c r="L117" s="5">
        <f t="shared" ref="L117" si="19">G117/E117</f>
        <v>0.59259259259259256</v>
      </c>
      <c r="M117" s="2">
        <f t="shared" si="16"/>
        <v>1296.1400000000001</v>
      </c>
    </row>
    <row r="118" spans="1:13" x14ac:dyDescent="0.3">
      <c r="A118" s="4"/>
    </row>
    <row r="119" spans="1:13" x14ac:dyDescent="0.3">
      <c r="A119" s="4"/>
    </row>
    <row r="120" spans="1:13" x14ac:dyDescent="0.3">
      <c r="A120" s="4"/>
    </row>
    <row r="121" spans="1:13" x14ac:dyDescent="0.3">
      <c r="A121" s="4"/>
    </row>
  </sheetData>
  <phoneticPr fontId="2" type="noConversion"/>
  <pageMargins left="0.7" right="0.7" top="0.75" bottom="0.75" header="0.3" footer="0.3"/>
  <pageSetup paperSize="9" orientation="portrait" horizont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2025-07-16T07:49:47Z</dcterms:created>
  <dcterms:modified xsi:type="dcterms:W3CDTF">2025-12-29T16:45:51Z</dcterms:modified>
</cp:coreProperties>
</file>